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ass\Desktop\Stage Forvia\"/>
    </mc:Choice>
  </mc:AlternateContent>
  <xr:revisionPtr revIDLastSave="0" documentId="13_ncr:1_{1EF4DC4D-D155-4A3A-BDC0-B2925E1DF32E}" xr6:coauthVersionLast="47" xr6:coauthVersionMax="47" xr10:uidLastSave="{00000000-0000-0000-0000-000000000000}"/>
  <bookViews>
    <workbookView xWindow="-108" yWindow="-108" windowWidth="23256" windowHeight="12456" activeTab="1" xr2:uid="{0E5820C5-5E98-48E9-BBD3-79847014EDDE}"/>
  </bookViews>
  <sheets>
    <sheet name="Feuil1" sheetId="1" r:id="rId1"/>
    <sheet name="Feuil2" sheetId="2" r:id="rId2"/>
    <sheet name="Feuil3" sheetId="4" r:id="rId3"/>
  </sheets>
  <functionGroups builtInGroupCount="19"/>
  <definedNames>
    <definedName name="_xlnm._FilterDatabase" localSheetId="2" hidden="1">Feuil3!$D$1:$D$27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Q32" i="2" l="1"/>
  <c r="Q7" i="2"/>
  <c r="J39" i="2"/>
  <c r="H39" i="2"/>
  <c r="J32" i="2"/>
  <c r="J28" i="2"/>
  <c r="I28" i="2"/>
  <c r="J20" i="2"/>
  <c r="I20" i="2"/>
  <c r="J16" i="2"/>
  <c r="I16" i="2"/>
  <c r="H16" i="2"/>
  <c r="M9" i="2"/>
  <c r="J9" i="2"/>
  <c r="I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MORET Thierry</author>
    <author>GOSSELIN Jean-Marc</author>
    <author>tc={12685EFC-AE8C-43B2-A042-4A4C22F65373}</author>
  </authors>
  <commentList>
    <comment ref="F6" authorId="0" shapeId="0" xr:uid="{E0E6B146-4489-4EEE-8BF0-C2E7BA837E2C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1010</t>
        </r>
      </text>
    </comment>
    <comment ref="G6" authorId="0" shapeId="0" xr:uid="{67253178-B9C1-4E92-9095-0A4388521F3C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870</t>
        </r>
      </text>
    </comment>
    <comment ref="H6" authorId="0" shapeId="0" xr:uid="{8A02D33B-BE2C-43F4-994B-AEF861F3C944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880</t>
        </r>
      </text>
    </comment>
    <comment ref="N6" authorId="0" shapeId="0" xr:uid="{C8DDA813-4D82-4F39-AA59-FE72923E03BC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0</t>
        </r>
      </text>
    </comment>
    <comment ref="O6" authorId="0" shapeId="0" xr:uid="{30E77506-2B14-44D4-9729-1EBB986A3DD9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1</t>
        </r>
      </text>
    </comment>
    <comment ref="P6" authorId="0" shapeId="0" xr:uid="{21C1C737-79A6-48AC-B23D-B8BE00B4FC7C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Tahoma"/>
            <family val="2"/>
          </rPr>
          <t>5</t>
        </r>
      </text>
    </comment>
    <comment ref="F7" authorId="0" shapeId="0" xr:uid="{DCC19105-1DC5-4B8D-8147-8AEC755063A3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1390</t>
        </r>
      </text>
    </comment>
    <comment ref="G7" authorId="0" shapeId="0" xr:uid="{64DAC3AD-966C-424D-917E-796DF12C6F8F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1300</t>
        </r>
      </text>
    </comment>
    <comment ref="H7" authorId="0" shapeId="0" xr:uid="{70FF5DA0-6D12-4A3C-9043-00F8B643D8B7}">
      <text>
        <r>
          <rPr>
            <b/>
            <sz val="9"/>
            <color indexed="81"/>
            <rFont val="Tahoma"/>
            <family val="2"/>
          </rPr>
          <t xml:space="preserve">MORET Thierry:
</t>
        </r>
        <r>
          <rPr>
            <b/>
            <sz val="14"/>
            <color indexed="81"/>
            <rFont val="Tahoma"/>
            <family val="2"/>
          </rPr>
          <t>1130</t>
        </r>
      </text>
    </comment>
    <comment ref="N7" authorId="0" shapeId="0" xr:uid="{E1682455-1A9E-4A7D-9340-6E7E4BE77971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2</t>
        </r>
      </text>
    </comment>
    <comment ref="P7" authorId="0" shapeId="0" xr:uid="{0766C6BC-05E0-42FE-8234-17A3FB6E39FC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5</t>
        </r>
      </text>
    </comment>
    <comment ref="F8" authorId="0" shapeId="0" xr:uid="{873D42D5-5B16-4EC6-8E57-4E9EE323EBB7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1648 avec lif mold</t>
        </r>
      </text>
    </comment>
    <comment ref="G8" authorId="0" shapeId="0" xr:uid="{0F15B0DB-46C1-4E5B-9CB1-63F842388C15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1300</t>
        </r>
      </text>
    </comment>
    <comment ref="H8" authorId="0" shapeId="0" xr:uid="{9D0D1DE3-0D5B-4C3D-9B0E-66231663DC2A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1197</t>
        </r>
      </text>
    </comment>
    <comment ref="F9" authorId="0" shapeId="0" xr:uid="{1B35BB11-036B-4FDD-9000-543DE149A7D8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1300</t>
        </r>
      </text>
    </comment>
    <comment ref="G9" authorId="0" shapeId="0" xr:uid="{9CD45BAF-1670-498D-AE5D-FB40E6461B7C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950</t>
        </r>
      </text>
    </comment>
    <comment ref="H9" authorId="0" shapeId="0" xr:uid="{2E415F4F-0615-4AB7-8172-5A0ED863F306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620</t>
        </r>
      </text>
    </comment>
    <comment ref="N9" authorId="0" shapeId="0" xr:uid="{2B707568-9430-4FFF-AE4B-07FC430A1F42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 xml:space="preserve">3
</t>
        </r>
      </text>
    </comment>
    <comment ref="P9" authorId="0" shapeId="0" xr:uid="{0492A27F-0C9D-4A55-89E9-9ED30F241830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 xml:space="preserve">3
</t>
        </r>
      </text>
    </comment>
    <comment ref="E10" authorId="0" shapeId="0" xr:uid="{0246ADCB-9560-46C9-952C-3B4767A67C44}">
      <text>
        <r>
          <rPr>
            <b/>
            <sz val="18"/>
            <color indexed="81"/>
            <rFont val="Tahoma"/>
            <family val="2"/>
          </rPr>
          <t>main préhension reçu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0" authorId="0" shapeId="0" xr:uid="{804A069E-D649-472D-80A1-A573F1751067}">
      <text>
        <r>
          <rPr>
            <b/>
            <sz val="20"/>
            <color indexed="81"/>
            <rFont val="Tahoma"/>
            <family val="2"/>
          </rPr>
          <t>MORET Thierry:</t>
        </r>
        <r>
          <rPr>
            <sz val="20"/>
            <color indexed="81"/>
            <rFont val="Tahoma"/>
            <family val="2"/>
          </rPr>
          <t xml:space="preserve">
HAUTEUR AVEC LIF MOULE
1608</t>
        </r>
      </text>
    </comment>
    <comment ref="O10" authorId="0" shapeId="0" xr:uid="{4A9ACB42-9580-4764-8A5D-4849B21D27FF}">
      <text>
        <r>
          <rPr>
            <b/>
            <sz val="20"/>
            <color indexed="81"/>
            <rFont val="Tahoma"/>
            <family val="2"/>
          </rPr>
          <t>MORET Thierry:</t>
        </r>
        <r>
          <rPr>
            <sz val="20"/>
            <color indexed="81"/>
            <rFont val="Tahoma"/>
            <family val="2"/>
          </rPr>
          <t xml:space="preserve">
OUVERTURE MOULE
2 CALES LATERAL
PUI EJECTION</t>
        </r>
      </text>
    </comment>
    <comment ref="E11" authorId="0" shapeId="0" xr:uid="{0776308F-B543-429A-B4F7-41AABEC2A1A7}">
      <text>
        <r>
          <rPr>
            <sz val="22"/>
            <color indexed="81"/>
            <rFont val="Tahoma"/>
            <family val="2"/>
          </rPr>
          <t>main préhension reçu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 shapeId="0" xr:uid="{76A85FE8-6C3A-4AE6-8333-2CA4426F6EA0}">
      <text>
        <r>
          <rPr>
            <b/>
            <sz val="20"/>
            <color indexed="81"/>
            <rFont val="Tahoma"/>
            <family val="2"/>
          </rPr>
          <t>MORET Thierry:</t>
        </r>
        <r>
          <rPr>
            <sz val="20"/>
            <color indexed="81"/>
            <rFont val="Tahoma"/>
            <family val="2"/>
          </rPr>
          <t xml:space="preserve">
OUVERTURE MOULE
2 CALES LATERAL
PUIS 2  CALLES VERTICALE
PUIS EJECTION</t>
        </r>
      </text>
    </comment>
    <comment ref="E12" authorId="0" shapeId="0" xr:uid="{0BA26DC5-669B-4227-97ED-952BCF1536AD}">
      <text>
        <r>
          <rPr>
            <sz val="18"/>
            <color indexed="81"/>
            <rFont val="Tahoma"/>
            <family val="2"/>
          </rPr>
          <t>main préhension reçu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4" authorId="0" shapeId="0" xr:uid="{5E8BF4D7-8437-480A-908F-9EDE050005C1}">
      <text>
        <r>
          <rPr>
            <b/>
            <sz val="18"/>
            <color indexed="81"/>
            <rFont val="Tahoma"/>
            <family val="2"/>
          </rPr>
          <t>main préhension reçu</t>
        </r>
      </text>
    </comment>
    <comment ref="G14" authorId="1" shapeId="0" xr:uid="{C6515516-6851-464E-A341-6145DC729433}">
      <text>
        <r>
          <rPr>
            <b/>
            <sz val="14"/>
            <color indexed="81"/>
            <rFont val="Tahoma"/>
            <family val="2"/>
          </rPr>
          <t>GOSSELIN Jean-Marc:</t>
        </r>
        <r>
          <rPr>
            <sz val="14"/>
            <color indexed="81"/>
            <rFont val="Tahoma"/>
            <family val="2"/>
          </rPr>
          <t xml:space="preserve">
steel order BA 29/03/19</t>
        </r>
      </text>
    </comment>
    <comment ref="E15" authorId="0" shapeId="0" xr:uid="{4D7E55C7-5D8D-4981-A485-8A53294044E9}">
      <text>
        <r>
          <rPr>
            <sz val="18"/>
            <color indexed="81"/>
            <rFont val="Tahoma"/>
            <family val="2"/>
          </rPr>
          <t>main préhension reçu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 xr:uid="{289717AC-A671-445D-9B31-566BB7EFF8E0}">
      <text>
        <r>
          <rPr>
            <sz val="18"/>
            <color indexed="81"/>
            <rFont val="Tahoma"/>
            <family val="2"/>
          </rPr>
          <t>main préhension reçu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6" authorId="2" shapeId="0" xr:uid="{12685EFC-AE8C-43B2-A042-4A4C22F6537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2 ou 3</t>
      </text>
    </comment>
    <comment ref="E19" authorId="0" shapeId="0" xr:uid="{99892B06-7998-4D2C-A4F0-5F4C072F09EF}">
      <text>
        <r>
          <rPr>
            <sz val="18"/>
            <color indexed="81"/>
            <rFont val="Tahoma"/>
            <family val="2"/>
          </rPr>
          <t>main préhension reçu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MORET Thierry</author>
  </authors>
  <commentList>
    <comment ref="B1" authorId="0" shapeId="0" xr:uid="{EDB692C9-4AB2-4729-891D-317E659501DB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1300T6</t>
        </r>
      </text>
    </comment>
    <comment ref="E9" authorId="0" shapeId="0" xr:uid="{9BD73A99-42F9-4E77-80FF-65E3ACC1250E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épaisseur plateau magnétique 52mm x 2</t>
        </r>
      </text>
    </comment>
    <comment ref="S15" authorId="0" shapeId="0" xr:uid="{F46F5204-A2BC-42DC-A6ED-7462EB93CDC9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 +COFFERT SISE 8 ZONES</t>
        </r>
      </text>
    </comment>
    <comment ref="E16" authorId="0" shapeId="0" xr:uid="{35A3A20C-3761-4A37-B9FD-D072C7D20CCB}">
      <text>
        <r>
          <rPr>
            <b/>
            <sz val="9"/>
            <color indexed="81"/>
            <rFont val="Tahoma"/>
            <family val="2"/>
          </rPr>
          <t>MORET Thierry:</t>
        </r>
        <r>
          <rPr>
            <sz val="9"/>
            <color indexed="81"/>
            <rFont val="Tahoma"/>
            <family val="2"/>
          </rPr>
          <t xml:space="preserve">
épaisseur plateau magnétique 52mm x 2</t>
        </r>
      </text>
    </comment>
  </commentList>
</comments>
</file>

<file path=xl/sharedStrings.xml><?xml version="1.0" encoding="utf-8"?>
<sst xmlns="http://schemas.openxmlformats.org/spreadsheetml/2006/main" count="350" uniqueCount="151">
  <si>
    <t>DESIGNATION</t>
  </si>
  <si>
    <t>Garniture VP INF Passager DàG</t>
  </si>
  <si>
    <t>Cuve vide poches  inf passager</t>
  </si>
  <si>
    <t>FACADE / DOUBLURE VP
SUP  PASSAGER</t>
  </si>
  <si>
    <t>CUVE  VP Sup passager</t>
  </si>
  <si>
    <t xml:space="preserve">N° moule HBT </t>
  </si>
  <si>
    <t>Dimensions moule</t>
  </si>
  <si>
    <t>Standard</t>
  </si>
  <si>
    <t>INV.</t>
  </si>
  <si>
    <t>non</t>
  </si>
  <si>
    <t>oui</t>
  </si>
  <si>
    <t>NON</t>
  </si>
  <si>
    <t>Type moule</t>
  </si>
  <si>
    <t>Nb
empreintes</t>
  </si>
  <si>
    <t>1+1</t>
  </si>
  <si>
    <t>Type 
bridage</t>
  </si>
  <si>
    <t>MAG 3</t>
  </si>
  <si>
    <t>MAG 2</t>
  </si>
  <si>
    <t>Ø 
rondelle
centrale</t>
  </si>
  <si>
    <t>Barre Chauffante</t>
  </si>
  <si>
    <t>Type prise</t>
  </si>
  <si>
    <t>24b.</t>
  </si>
  <si>
    <t>NA</t>
  </si>
  <si>
    <t>Refroidissement moule</t>
  </si>
  <si>
    <t>Thermo
Grille HP</t>
  </si>
  <si>
    <t xml:space="preserve">Force de fermeture 
utile en t
</t>
  </si>
  <si>
    <t>Version : 26</t>
  </si>
  <si>
    <t xml:space="preserve">                        EQUIPEMENT  DES  PRESSES  Henin Beaumont           </t>
  </si>
  <si>
    <t>Famille</t>
  </si>
  <si>
    <t>N° de Presse</t>
  </si>
  <si>
    <t>Marque de la presse</t>
  </si>
  <si>
    <t>Mise en service</t>
  </si>
  <si>
    <t>Type de bridage</t>
  </si>
  <si>
    <r>
      <t xml:space="preserve">Ø </t>
    </r>
    <r>
      <rPr>
        <b/>
        <sz val="8"/>
        <rFont val="Arial"/>
        <family val="2"/>
      </rPr>
      <t>Rondelle centrage réversible</t>
    </r>
  </si>
  <si>
    <t>Plot</t>
  </si>
  <si>
    <t xml:space="preserve">Plateau presses    </t>
  </si>
  <si>
    <t>Noyaux</t>
  </si>
  <si>
    <t>Séquentiel</t>
  </si>
  <si>
    <t>Chauffe</t>
  </si>
  <si>
    <t>Thermorégulateur</t>
  </si>
  <si>
    <t xml:space="preserve">Course d'ouverture MAXI </t>
  </si>
  <si>
    <t xml:space="preserve">Nbr de
voies en service </t>
  </si>
  <si>
    <t xml:space="preserve">Type de prises </t>
  </si>
  <si>
    <t>Sur la Grille</t>
  </si>
  <si>
    <t>ENGEL</t>
  </si>
  <si>
    <t>2000</t>
  </si>
  <si>
    <t>Design 3</t>
  </si>
  <si>
    <t>Krauss Maffei</t>
  </si>
  <si>
    <t>2013</t>
  </si>
  <si>
    <t>2100T</t>
  </si>
  <si>
    <t>Windsor</t>
  </si>
  <si>
    <t>24 bro</t>
  </si>
  <si>
    <r>
      <rPr>
        <b/>
        <sz val="8"/>
        <color indexed="17"/>
        <rFont val="Arial"/>
        <family val="2"/>
      </rPr>
      <t>1</t>
    </r>
    <r>
      <rPr>
        <sz val="8"/>
        <color indexed="8"/>
        <rFont val="Arial"/>
        <family val="2"/>
      </rPr>
      <t>+</t>
    </r>
    <r>
      <rPr>
        <b/>
        <sz val="8"/>
        <color indexed="10"/>
        <rFont val="Arial"/>
        <family val="2"/>
      </rPr>
      <t>1</t>
    </r>
  </si>
  <si>
    <r>
      <rPr>
        <b/>
        <sz val="8"/>
        <color indexed="17"/>
        <rFont val="Arial"/>
        <family val="2"/>
      </rPr>
      <t>1</t>
    </r>
    <r>
      <rPr>
        <sz val="8"/>
        <color indexed="8"/>
        <rFont val="Arial"/>
        <family val="2"/>
      </rPr>
      <t>+</t>
    </r>
    <r>
      <rPr>
        <b/>
        <sz val="8"/>
        <color indexed="17"/>
        <rFont val="Arial"/>
        <family val="2"/>
      </rPr>
      <t>1</t>
    </r>
  </si>
  <si>
    <t>2100T2</t>
  </si>
  <si>
    <t>2000T1</t>
  </si>
  <si>
    <t>2000T2</t>
  </si>
  <si>
    <t>2000T5</t>
  </si>
  <si>
    <t>Husky</t>
  </si>
  <si>
    <t>2000T6</t>
  </si>
  <si>
    <t>Haïtian</t>
  </si>
  <si>
    <t>1650T</t>
  </si>
  <si>
    <t>1600T2</t>
  </si>
  <si>
    <t>2003</t>
  </si>
  <si>
    <r>
      <rPr>
        <b/>
        <sz val="8"/>
        <color indexed="17"/>
        <rFont val="Arial"/>
        <family val="2"/>
      </rPr>
      <t>2</t>
    </r>
    <r>
      <rPr>
        <b/>
        <sz val="8"/>
        <color indexed="10"/>
        <rFont val="Arial"/>
        <family val="2"/>
      </rPr>
      <t>+1</t>
    </r>
  </si>
  <si>
    <r>
      <rPr>
        <b/>
        <sz val="8"/>
        <color indexed="17"/>
        <rFont val="Arial"/>
        <family val="2"/>
      </rPr>
      <t>1</t>
    </r>
    <r>
      <rPr>
        <sz val="8"/>
        <color indexed="8"/>
        <rFont val="Arial"/>
        <family val="2"/>
      </rPr>
      <t>+</t>
    </r>
    <r>
      <rPr>
        <b/>
        <sz val="8"/>
        <color indexed="10"/>
        <rFont val="Arial"/>
        <family val="2"/>
      </rPr>
      <t>2</t>
    </r>
  </si>
  <si>
    <t>1600T3</t>
  </si>
  <si>
    <t>2016</t>
  </si>
  <si>
    <r>
      <rPr>
        <b/>
        <sz val="8"/>
        <color indexed="17"/>
        <rFont val="Arial"/>
        <family val="2"/>
      </rPr>
      <t>1</t>
    </r>
    <r>
      <rPr>
        <b/>
        <sz val="8"/>
        <color indexed="10"/>
        <rFont val="Arial"/>
        <family val="2"/>
      </rPr>
      <t>+2</t>
    </r>
  </si>
  <si>
    <t>1600T4</t>
  </si>
  <si>
    <t>1300T1</t>
  </si>
  <si>
    <t>ITALTECH</t>
  </si>
  <si>
    <t>2001</t>
  </si>
  <si>
    <t>1300T2</t>
  </si>
  <si>
    <t>1300T3</t>
  </si>
  <si>
    <t>1300T4</t>
  </si>
  <si>
    <t>Haitian</t>
  </si>
  <si>
    <t>2015</t>
  </si>
  <si>
    <t>1300T5</t>
  </si>
  <si>
    <t>1300T6</t>
  </si>
  <si>
    <t>KM</t>
  </si>
  <si>
    <t>2006</t>
  </si>
  <si>
    <t>1000T4</t>
  </si>
  <si>
    <t>SANDRETTO</t>
  </si>
  <si>
    <t>Design 2</t>
  </si>
  <si>
    <t>1000T5</t>
  </si>
  <si>
    <t>1000T6</t>
  </si>
  <si>
    <t>900T</t>
  </si>
  <si>
    <t>650T2</t>
  </si>
  <si>
    <t>2019</t>
  </si>
  <si>
    <t>650T4</t>
  </si>
  <si>
    <t>650T5</t>
  </si>
  <si>
    <t>2014</t>
  </si>
  <si>
    <r>
      <t xml:space="preserve">Moulage </t>
    </r>
    <r>
      <rPr>
        <b/>
        <sz val="10"/>
        <color indexed="8"/>
        <rFont val="Arial"/>
        <family val="2"/>
      </rPr>
      <t>1</t>
    </r>
  </si>
  <si>
    <r>
      <t>Moulage</t>
    </r>
    <r>
      <rPr>
        <b/>
        <sz val="10"/>
        <color indexed="8"/>
        <rFont val="Arial"/>
        <family val="2"/>
      </rPr>
      <t xml:space="preserve"> 2</t>
    </r>
  </si>
  <si>
    <t>24b</t>
  </si>
  <si>
    <t>Nbr de voies max</t>
  </si>
  <si>
    <t>Force de fermeture 
utile en t</t>
  </si>
  <si>
    <t>Nbr de zones</t>
  </si>
  <si>
    <t>Nbr Zones</t>
  </si>
  <si>
    <t>Nbr circuits d'eau</t>
  </si>
  <si>
    <t>Nbr
buses</t>
  </si>
  <si>
    <t>Nbr buses
 seq</t>
  </si>
  <si>
    <t>Nbr
thermo PF</t>
  </si>
  <si>
    <t>Nbr
thermo PM</t>
  </si>
  <si>
    <t>Hauteur Entre colonne  ( H )</t>
  </si>
  <si>
    <t>Largeur Entre colonne  ( L )</t>
  </si>
  <si>
    <t>Epaisseur ( E )  moule Mini</t>
  </si>
  <si>
    <t>Epaisseur ( E ) moule Maxi</t>
  </si>
  <si>
    <t>Epaisseur
Em</t>
  </si>
  <si>
    <t>Largeur
Lm</t>
  </si>
  <si>
    <t>Hauteur
Hm</t>
  </si>
  <si>
    <t xml:space="preserve">Nbr branchement partie fixe
</t>
  </si>
  <si>
    <t xml:space="preserve">Nbr Branchement partie mobile
</t>
  </si>
  <si>
    <t>Presse</t>
  </si>
  <si>
    <t>Moule</t>
  </si>
  <si>
    <t>Montabilité</t>
  </si>
  <si>
    <t>Hauteur Hm</t>
  </si>
  <si>
    <t>Largeur Lm</t>
  </si>
  <si>
    <t>Epaisseur Em</t>
  </si>
  <si>
    <t>Pourquoi NOK</t>
  </si>
  <si>
    <t>NOK</t>
  </si>
  <si>
    <t>2700T1</t>
  </si>
  <si>
    <t>2700T2</t>
  </si>
  <si>
    <t>Hauteur plateau presse  ( H )</t>
  </si>
  <si>
    <t>Largeur plateau presse ( L )</t>
  </si>
  <si>
    <t>1850T</t>
  </si>
  <si>
    <t>Nbr PF</t>
  </si>
  <si>
    <t>Nbr PM</t>
  </si>
  <si>
    <t>K0</t>
  </si>
  <si>
    <t>B1316</t>
  </si>
  <si>
    <r>
      <t xml:space="preserve">          CORPS DE PLANCHE  INF
            </t>
    </r>
    <r>
      <rPr>
        <b/>
        <sz val="12"/>
        <rFont val="Arial"/>
        <family val="2"/>
      </rPr>
      <t xml:space="preserve"> </t>
    </r>
    <r>
      <rPr>
        <b/>
        <sz val="20"/>
        <rFont val="Arial"/>
        <family val="2"/>
      </rPr>
      <t xml:space="preserve"> </t>
    </r>
    <r>
      <rPr>
        <b/>
        <sz val="20"/>
        <color indexed="30"/>
        <rFont val="Arial"/>
        <family val="2"/>
      </rPr>
      <t xml:space="preserve">   IP l</t>
    </r>
    <r>
      <rPr>
        <sz val="20"/>
        <color indexed="30"/>
        <rFont val="Arial"/>
        <family val="2"/>
      </rPr>
      <t>o</t>
    </r>
    <r>
      <rPr>
        <b/>
        <sz val="20"/>
        <color indexed="30"/>
        <rFont val="Arial"/>
        <family val="2"/>
      </rPr>
      <t>wer LHD</t>
    </r>
    <r>
      <rPr>
        <b/>
        <sz val="16"/>
        <rFont val="Arial"/>
        <family val="2"/>
      </rPr>
      <t xml:space="preserve">  </t>
    </r>
    <r>
      <rPr>
        <b/>
        <sz val="26"/>
        <color indexed="10"/>
        <rFont val="Arial"/>
        <family val="2"/>
      </rPr>
      <t>V08</t>
    </r>
    <r>
      <rPr>
        <b/>
        <sz val="16"/>
        <color indexed="17"/>
        <rFont val="Arial"/>
        <family val="2"/>
      </rPr>
      <t xml:space="preserve">
</t>
    </r>
    <r>
      <rPr>
        <b/>
        <sz val="20"/>
        <color indexed="51"/>
        <rFont val="Arial"/>
        <family val="2"/>
      </rPr>
      <t>VOIR OBSERVATIONS</t>
    </r>
  </si>
  <si>
    <r>
      <t xml:space="preserve">                  CONSOLE BG E2
          </t>
    </r>
    <r>
      <rPr>
        <b/>
        <sz val="16"/>
        <color indexed="30"/>
        <rFont val="Arial"/>
        <family val="2"/>
      </rPr>
      <t xml:space="preserve">          console  body BG</t>
    </r>
    <r>
      <rPr>
        <b/>
        <sz val="16"/>
        <rFont val="Arial"/>
        <family val="2"/>
      </rPr>
      <t xml:space="preserve">  </t>
    </r>
    <r>
      <rPr>
        <b/>
        <sz val="16"/>
        <color indexed="51"/>
        <rFont val="Arial"/>
        <family val="2"/>
      </rPr>
      <t>V05</t>
    </r>
  </si>
  <si>
    <r>
      <t xml:space="preserve">ENCADREMENT VP PASSAGER
</t>
    </r>
    <r>
      <rPr>
        <b/>
        <sz val="16"/>
        <color indexed="62"/>
        <rFont val="Arial"/>
        <family val="2"/>
      </rPr>
      <t xml:space="preserve">Glove box frame LHD      </t>
    </r>
    <r>
      <rPr>
        <b/>
        <sz val="16"/>
        <color indexed="60"/>
        <rFont val="Arial"/>
        <family val="2"/>
      </rPr>
      <t xml:space="preserve"> V04</t>
    </r>
  </si>
  <si>
    <r>
      <t xml:space="preserve">HABILLAGE HVAC
</t>
    </r>
    <r>
      <rPr>
        <b/>
        <sz val="16"/>
        <color indexed="62"/>
        <rFont val="Arial"/>
        <family val="2"/>
      </rPr>
      <t xml:space="preserve">HVAC panel lhd e2   </t>
    </r>
    <r>
      <rPr>
        <b/>
        <sz val="16"/>
        <color indexed="60"/>
        <rFont val="Arial"/>
        <family val="2"/>
      </rPr>
      <t xml:space="preserve">  </t>
    </r>
    <r>
      <rPr>
        <b/>
        <sz val="22"/>
        <color indexed="10"/>
        <rFont val="Arial"/>
        <family val="2"/>
      </rPr>
      <t>V08</t>
    </r>
  </si>
  <si>
    <r>
      <t xml:space="preserve">FERMETURE STRUCTURE SUP ET INF
</t>
    </r>
    <r>
      <rPr>
        <b/>
        <sz val="16"/>
        <color indexed="62"/>
        <rFont val="Arial"/>
        <family val="2"/>
      </rPr>
      <t xml:space="preserve">Defroster closing </t>
    </r>
    <r>
      <rPr>
        <b/>
        <sz val="24"/>
        <color indexed="62"/>
        <rFont val="Arial"/>
        <family val="2"/>
      </rPr>
      <t>V04</t>
    </r>
  </si>
  <si>
    <r>
      <t xml:space="preserve">DOUBLURE HUCHE VP PASSAGER
</t>
    </r>
    <r>
      <rPr>
        <b/>
        <sz val="16"/>
        <color indexed="30"/>
        <rFont val="Arial"/>
        <family val="2"/>
      </rPr>
      <t>passager swing bin inner door</t>
    </r>
    <r>
      <rPr>
        <b/>
        <sz val="16"/>
        <rFont val="Arial"/>
        <family val="2"/>
      </rPr>
      <t xml:space="preserve">   </t>
    </r>
    <r>
      <rPr>
        <b/>
        <sz val="16"/>
        <color indexed="60"/>
        <rFont val="Arial"/>
        <family val="2"/>
      </rPr>
      <t>V04</t>
    </r>
  </si>
  <si>
    <t>Console front storage hg</t>
  </si>
  <si>
    <r>
      <t xml:space="preserve">COIFFE  SUP
 </t>
    </r>
    <r>
      <rPr>
        <b/>
        <sz val="16"/>
        <color indexed="30"/>
        <rFont val="Arial"/>
        <family val="2"/>
      </rPr>
      <t>IP upper LHD</t>
    </r>
    <r>
      <rPr>
        <b/>
        <sz val="16"/>
        <rFont val="Arial"/>
        <family val="2"/>
      </rPr>
      <t xml:space="preserve"> </t>
    </r>
    <r>
      <rPr>
        <b/>
        <sz val="16"/>
        <color indexed="60"/>
        <rFont val="Arial"/>
        <family val="2"/>
      </rPr>
      <t>V09</t>
    </r>
  </si>
  <si>
    <r>
      <t xml:space="preserve">STRUCTURE DE CONSOLE  HG              </t>
    </r>
    <r>
      <rPr>
        <b/>
        <sz val="16"/>
        <color indexed="30"/>
        <rFont val="Arial"/>
        <family val="2"/>
      </rPr>
      <t xml:space="preserve">console  structure </t>
    </r>
    <r>
      <rPr>
        <b/>
        <sz val="22"/>
        <color indexed="60"/>
        <rFont val="Arial"/>
        <family val="2"/>
      </rPr>
      <t>V06</t>
    </r>
  </si>
  <si>
    <r>
      <t xml:space="preserve">FLANCS CONSOLE D+G
    </t>
    </r>
    <r>
      <rPr>
        <b/>
        <sz val="16"/>
        <color indexed="30"/>
        <rFont val="Arial"/>
        <family val="2"/>
      </rPr>
      <t xml:space="preserve">  console  panel </t>
    </r>
    <r>
      <rPr>
        <b/>
        <sz val="20"/>
        <color rgb="FFFFCC00"/>
        <rFont val="Arial"/>
        <family val="2"/>
      </rPr>
      <t>V06</t>
    </r>
  </si>
  <si>
    <r>
      <t xml:space="preserve">    JOUES DE  CONSOLE D+G
 </t>
    </r>
    <r>
      <rPr>
        <b/>
        <sz val="16"/>
        <color indexed="30"/>
        <rFont val="Arial"/>
        <family val="2"/>
      </rPr>
      <t xml:space="preserve"> console  side  shield</t>
    </r>
    <r>
      <rPr>
        <b/>
        <sz val="16"/>
        <rFont val="Arial"/>
        <family val="2"/>
      </rPr>
      <t xml:space="preserve"> </t>
    </r>
    <r>
      <rPr>
        <b/>
        <sz val="22"/>
        <color rgb="FFFFCC00"/>
        <rFont val="Arial"/>
        <family val="2"/>
      </rPr>
      <t>V07</t>
    </r>
  </si>
  <si>
    <r>
      <t xml:space="preserve">CONDUIT DE DEGIVRAGE  DAG
               </t>
    </r>
    <r>
      <rPr>
        <b/>
        <sz val="16"/>
        <color indexed="30"/>
        <rFont val="Arial"/>
        <family val="2"/>
      </rPr>
      <t xml:space="preserve">defroster structure </t>
    </r>
    <r>
      <rPr>
        <b/>
        <sz val="20"/>
        <color rgb="FF0066CC"/>
        <rFont val="Arial"/>
        <family val="2"/>
      </rPr>
      <t>V10</t>
    </r>
    <r>
      <rPr>
        <b/>
        <sz val="16"/>
        <rFont val="Arial"/>
        <family val="2"/>
      </rPr>
      <t xml:space="preserve">
                </t>
    </r>
    <r>
      <rPr>
        <b/>
        <sz val="16"/>
        <color indexed="10"/>
        <rFont val="Arial"/>
        <family val="2"/>
      </rPr>
      <t>VOIR OBSERVATIONS</t>
    </r>
  </si>
  <si>
    <t>Projets</t>
  </si>
  <si>
    <t>MAG  3</t>
  </si>
  <si>
    <t>MAG  2</t>
  </si>
  <si>
    <t xml:space="preserve">MAG </t>
  </si>
  <si>
    <t xml:space="preserve">MAG 3 </t>
  </si>
  <si>
    <t>MAG</t>
  </si>
  <si>
    <t>1
VISIERE A PART</t>
  </si>
  <si>
    <t>Presse=72 / Moule=85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</si>
</sst>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5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22"/>
      <name val="Arial Narrow"/>
      <family val="2"/>
    </font>
    <font>
      <b/>
      <sz val="14"/>
      <name val="Arial"/>
      <family val="2"/>
    </font>
    <font>
      <b/>
      <sz val="12"/>
      <name val="Arial"/>
      <family val="2"/>
    </font>
    <font>
      <sz val="18"/>
      <name val="Arial Narrow"/>
      <family val="2"/>
    </font>
    <font>
      <sz val="18"/>
      <name val="Arial"/>
      <family val="2"/>
    </font>
    <font>
      <sz val="16"/>
      <color indexed="81"/>
      <name val="Tahoma"/>
      <family val="2"/>
    </font>
    <font>
      <b/>
      <sz val="14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Arial Narrow"/>
      <family val="2"/>
    </font>
    <font>
      <sz val="16"/>
      <name val="Arial"/>
      <family val="2"/>
    </font>
    <font>
      <b/>
      <sz val="16"/>
      <color rgb="FFFF0000"/>
      <name val="Arial"/>
      <family val="2"/>
    </font>
    <font>
      <sz val="16"/>
      <name val="Arial Narrow"/>
      <family val="2"/>
    </font>
    <font>
      <sz val="14"/>
      <name val="Arial"/>
      <family val="2"/>
    </font>
    <font>
      <b/>
      <sz val="18"/>
      <name val="Arial Narrow"/>
      <family val="2"/>
    </font>
    <font>
      <sz val="18"/>
      <color indexed="81"/>
      <name val="Tahoma"/>
      <family val="2"/>
    </font>
    <font>
      <b/>
      <sz val="16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14"/>
      <color indexed="60"/>
      <name val="Arial"/>
      <family val="2"/>
    </font>
    <font>
      <b/>
      <sz val="8"/>
      <name val="Arial"/>
      <family val="2"/>
    </font>
    <font>
      <b/>
      <sz val="8"/>
      <name val="Arial Narrow"/>
      <family val="2"/>
    </font>
    <font>
      <b/>
      <sz val="10"/>
      <name val="Arial"/>
      <family val="2"/>
    </font>
    <font>
      <b/>
      <sz val="8"/>
      <color theme="0"/>
      <name val="Arial"/>
      <family val="2"/>
    </font>
    <font>
      <b/>
      <sz val="8"/>
      <color indexed="10"/>
      <name val="Arial"/>
      <family val="2"/>
    </font>
    <font>
      <sz val="10"/>
      <color theme="0"/>
      <name val="Arial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6"/>
      <name val="Arial"/>
      <family val="2"/>
    </font>
    <font>
      <sz val="6"/>
      <color indexed="8"/>
      <name val="Arial"/>
      <family val="2"/>
    </font>
    <font>
      <b/>
      <sz val="8"/>
      <color indexed="17"/>
      <name val="Arial"/>
      <family val="2"/>
    </font>
    <font>
      <b/>
      <sz val="8"/>
      <color indexed="8"/>
      <name val="Arial"/>
      <family val="2"/>
    </font>
    <font>
      <b/>
      <sz val="10"/>
      <color indexed="12"/>
      <name val="Arial"/>
      <family val="2"/>
    </font>
    <font>
      <sz val="6"/>
      <color indexed="12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sz val="6"/>
      <color indexed="60"/>
      <name val="Arial"/>
      <family val="2"/>
    </font>
    <font>
      <sz val="8"/>
      <color indexed="60"/>
      <name val="Arial"/>
      <family val="2"/>
    </font>
    <font>
      <sz val="10"/>
      <color indexed="60"/>
      <name val="Arial"/>
      <family val="2"/>
    </font>
    <font>
      <b/>
      <sz val="14"/>
      <color theme="1"/>
      <name val="Aptos Narrow"/>
      <family val="2"/>
      <scheme val="minor"/>
    </font>
    <font>
      <b/>
      <sz val="11"/>
      <name val="Arial"/>
      <family val="2"/>
    </font>
    <font>
      <b/>
      <sz val="12"/>
      <color indexed="60"/>
      <name val="Arial"/>
      <family val="2"/>
    </font>
    <font>
      <sz val="12"/>
      <color indexed="8"/>
      <name val="Arial"/>
      <family val="2"/>
    </font>
    <font>
      <sz val="12"/>
      <color indexed="12"/>
      <name val="Arial"/>
      <family val="2"/>
    </font>
    <font>
      <sz val="12"/>
      <color indexed="60"/>
      <name val="Arial"/>
      <family val="2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sz val="11"/>
      <color theme="1"/>
      <name val="Arial"/>
      <family val="2"/>
    </font>
    <font>
      <b/>
      <sz val="18"/>
      <color indexed="81"/>
      <name val="Tahoma"/>
      <family val="2"/>
    </font>
    <font>
      <b/>
      <sz val="20"/>
      <color indexed="81"/>
      <name val="Tahoma"/>
      <family val="2"/>
    </font>
    <font>
      <sz val="20"/>
      <color indexed="81"/>
      <name val="Tahoma"/>
      <family val="2"/>
    </font>
    <font>
      <b/>
      <sz val="16"/>
      <name val="Arial Narrow"/>
      <family val="2"/>
    </font>
    <font>
      <b/>
      <i/>
      <u/>
      <sz val="36"/>
      <name val="Arial"/>
      <family val="2"/>
    </font>
    <font>
      <b/>
      <sz val="20"/>
      <name val="Arial"/>
      <family val="2"/>
    </font>
    <font>
      <b/>
      <sz val="12"/>
      <name val="Arial Narrow"/>
      <family val="2"/>
    </font>
    <font>
      <b/>
      <sz val="22"/>
      <color theme="1"/>
      <name val="Aptos Narrow"/>
      <family val="2"/>
      <scheme val="minor"/>
    </font>
    <font>
      <b/>
      <sz val="16"/>
      <color rgb="FF000000"/>
      <name val="Aptos Narrow"/>
      <family val="2"/>
    </font>
    <font>
      <b/>
      <sz val="20"/>
      <color theme="1"/>
      <name val="Aptos Narrow"/>
      <family val="2"/>
      <scheme val="minor"/>
    </font>
    <font>
      <sz val="22"/>
      <color indexed="81"/>
      <name val="Tahoma"/>
      <family val="2"/>
    </font>
    <font>
      <b/>
      <sz val="20"/>
      <color indexed="30"/>
      <name val="Arial"/>
      <family val="2"/>
    </font>
    <font>
      <sz val="20"/>
      <color indexed="30"/>
      <name val="Arial"/>
      <family val="2"/>
    </font>
    <font>
      <b/>
      <sz val="26"/>
      <color indexed="10"/>
      <name val="Arial"/>
      <family val="2"/>
    </font>
    <font>
      <b/>
      <sz val="16"/>
      <color indexed="17"/>
      <name val="Arial"/>
      <family val="2"/>
    </font>
    <font>
      <b/>
      <sz val="20"/>
      <color indexed="51"/>
      <name val="Arial"/>
      <family val="2"/>
    </font>
    <font>
      <b/>
      <sz val="16"/>
      <color indexed="30"/>
      <name val="Arial"/>
      <family val="2"/>
    </font>
    <font>
      <b/>
      <sz val="16"/>
      <color indexed="60"/>
      <name val="Arial"/>
      <family val="2"/>
    </font>
    <font>
      <b/>
      <sz val="16"/>
      <color indexed="10"/>
      <name val="Arial"/>
      <family val="2"/>
    </font>
    <font>
      <b/>
      <sz val="16"/>
      <color indexed="51"/>
      <name val="Arial"/>
      <family val="2"/>
    </font>
    <font>
      <b/>
      <sz val="22"/>
      <color indexed="60"/>
      <name val="Arial"/>
      <family val="2"/>
    </font>
    <font>
      <b/>
      <sz val="16"/>
      <color indexed="62"/>
      <name val="Arial"/>
      <family val="2"/>
    </font>
    <font>
      <b/>
      <sz val="22"/>
      <color indexed="10"/>
      <name val="Arial"/>
      <family val="2"/>
    </font>
    <font>
      <b/>
      <sz val="24"/>
      <color indexed="62"/>
      <name val="Arial"/>
      <family val="2"/>
    </font>
    <font>
      <b/>
      <sz val="22"/>
      <color rgb="FFFFCC00"/>
      <name val="Arial"/>
      <family val="2"/>
    </font>
    <font>
      <b/>
      <sz val="20"/>
      <color rgb="FFFFCC00"/>
      <name val="Arial"/>
      <family val="2"/>
    </font>
    <font>
      <b/>
      <sz val="20"/>
      <color rgb="FF0066CC"/>
      <name val="Arial"/>
      <family val="2"/>
    </font>
    <font>
      <b/>
      <sz val="36"/>
      <color theme="1"/>
      <name val="Aptos Narrow"/>
      <family val="2"/>
      <scheme val="minor"/>
    </font>
    <font>
      <sz val="14"/>
      <color indexed="81"/>
      <name val="Tahoma"/>
      <family val="2"/>
    </font>
    <font>
      <b/>
      <sz val="20"/>
      <name val="Arial Narrow"/>
      <family val="2"/>
    </font>
    <font>
      <b/>
      <sz val="24"/>
      <name val="Arial Narrow"/>
      <family val="2"/>
    </font>
    <font>
      <b/>
      <sz val="24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AFEFBA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60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thin">
        <color indexed="60"/>
      </top>
      <bottom style="thin">
        <color indexed="60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8"/>
      </left>
      <right style="medium">
        <color indexed="8"/>
      </right>
      <top style="thin">
        <color indexed="60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0"/>
      </bottom>
      <diagonal/>
    </border>
    <border>
      <left/>
      <right style="thin">
        <color indexed="64"/>
      </right>
      <top style="thin">
        <color indexed="60"/>
      </top>
      <bottom/>
      <diagonal/>
    </border>
    <border>
      <left style="thin">
        <color indexed="64"/>
      </left>
      <right style="thin">
        <color indexed="64"/>
      </right>
      <top style="thin">
        <color indexed="6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medium">
        <color indexed="8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68">
    <xf numFmtId="0" fontId="0" fillId="0" borderId="0" xfId="0"/>
    <xf numFmtId="0" fontId="0" fillId="0" borderId="0" xfId="0" applyAlignment="1">
      <alignment horizontal="center"/>
    </xf>
    <xf numFmtId="0" fontId="13" fillId="4" borderId="3" xfId="3" applyFont="1" applyFill="1" applyBorder="1" applyAlignment="1" applyProtection="1">
      <alignment horizontal="center" vertical="center"/>
      <protection locked="0"/>
    </xf>
    <xf numFmtId="0" fontId="14" fillId="4" borderId="3" xfId="3" applyFont="1" applyFill="1" applyBorder="1" applyAlignment="1" applyProtection="1">
      <alignment horizontal="center" vertical="center"/>
      <protection locked="0"/>
    </xf>
    <xf numFmtId="0" fontId="15" fillId="4" borderId="3" xfId="0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2" fillId="7" borderId="3" xfId="4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3" fillId="9" borderId="51" xfId="0" applyFont="1" applyFill="1" applyBorder="1" applyAlignment="1">
      <alignment horizontal="center" vertical="center" textRotation="90"/>
    </xf>
    <xf numFmtId="0" fontId="29" fillId="0" borderId="52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49" fontId="31" fillId="0" borderId="3" xfId="0" applyNumberFormat="1" applyFont="1" applyBorder="1" applyAlignment="1">
      <alignment horizontal="center"/>
    </xf>
    <xf numFmtId="0" fontId="32" fillId="0" borderId="44" xfId="0" applyFont="1" applyBorder="1" applyAlignment="1">
      <alignment horizontal="center"/>
    </xf>
    <xf numFmtId="0" fontId="32" fillId="0" borderId="3" xfId="0" applyFont="1" applyBorder="1" applyAlignment="1">
      <alignment horizontal="center"/>
    </xf>
    <xf numFmtId="12" fontId="32" fillId="0" borderId="3" xfId="0" applyNumberFormat="1" applyFont="1" applyBorder="1" applyAlignment="1">
      <alignment horizontal="center"/>
    </xf>
    <xf numFmtId="0" fontId="32" fillId="3" borderId="45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33" fillId="20" borderId="53" xfId="0" applyFont="1" applyFill="1" applyBorder="1" applyAlignment="1">
      <alignment horizontal="center"/>
    </xf>
    <xf numFmtId="0" fontId="29" fillId="0" borderId="43" xfId="0" applyFont="1" applyBorder="1" applyAlignment="1">
      <alignment horizontal="center"/>
    </xf>
    <xf numFmtId="0" fontId="34" fillId="0" borderId="44" xfId="0" applyFont="1" applyBorder="1" applyAlignment="1">
      <alignment horizontal="center"/>
    </xf>
    <xf numFmtId="0" fontId="31" fillId="0" borderId="44" xfId="0" applyFont="1" applyBorder="1" applyAlignment="1">
      <alignment horizontal="center"/>
    </xf>
    <xf numFmtId="0" fontId="34" fillId="2" borderId="3" xfId="0" applyFont="1" applyFill="1" applyBorder="1" applyAlignment="1">
      <alignment horizontal="center" vertical="center" wrapText="1"/>
    </xf>
    <xf numFmtId="0" fontId="32" fillId="0" borderId="45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29" fillId="17" borderId="10" xfId="0" applyFont="1" applyFill="1" applyBorder="1" applyAlignment="1">
      <alignment horizontal="center"/>
    </xf>
    <xf numFmtId="0" fontId="34" fillId="17" borderId="3" xfId="0" applyFont="1" applyFill="1" applyBorder="1" applyAlignment="1">
      <alignment horizontal="center"/>
    </xf>
    <xf numFmtId="0" fontId="31" fillId="17" borderId="3" xfId="0" applyFont="1" applyFill="1" applyBorder="1" applyAlignment="1">
      <alignment horizontal="center"/>
    </xf>
    <xf numFmtId="0" fontId="32" fillId="17" borderId="3" xfId="0" applyFont="1" applyFill="1" applyBorder="1" applyAlignment="1">
      <alignment horizontal="center"/>
    </xf>
    <xf numFmtId="0" fontId="32" fillId="17" borderId="22" xfId="0" applyFont="1" applyFill="1" applyBorder="1" applyAlignment="1">
      <alignment horizontal="center"/>
    </xf>
    <xf numFmtId="0" fontId="32" fillId="0" borderId="0" xfId="0" applyFont="1"/>
    <xf numFmtId="0" fontId="33" fillId="21" borderId="0" xfId="0" applyFont="1" applyFill="1" applyAlignment="1">
      <alignment horizontal="center"/>
    </xf>
    <xf numFmtId="0" fontId="29" fillId="0" borderId="13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32" fillId="0" borderId="25" xfId="0" applyFont="1" applyBorder="1" applyAlignment="1">
      <alignment horizontal="center"/>
    </xf>
    <xf numFmtId="0" fontId="33" fillId="14" borderId="53" xfId="0" applyFont="1" applyFill="1" applyBorder="1" applyAlignment="1">
      <alignment horizontal="center"/>
    </xf>
    <xf numFmtId="0" fontId="30" fillId="0" borderId="44" xfId="0" applyFont="1" applyBorder="1" applyAlignment="1">
      <alignment horizontal="center"/>
    </xf>
    <xf numFmtId="0" fontId="0" fillId="0" borderId="0" xfId="0" applyAlignment="1">
      <alignment vertical="center"/>
    </xf>
    <xf numFmtId="0" fontId="33" fillId="23" borderId="53" xfId="0" applyFont="1" applyFill="1" applyBorder="1" applyAlignment="1">
      <alignment horizontal="center" vertical="center"/>
    </xf>
    <xf numFmtId="0" fontId="29" fillId="0" borderId="3" xfId="0" applyFont="1" applyBorder="1" applyAlignment="1">
      <alignment horizontal="center"/>
    </xf>
    <xf numFmtId="0" fontId="31" fillId="0" borderId="44" xfId="0" applyFont="1" applyBorder="1" applyAlignment="1">
      <alignment horizontal="center" vertical="center"/>
    </xf>
    <xf numFmtId="0" fontId="32" fillId="0" borderId="4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44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34" fillId="17" borderId="5" xfId="0" applyFont="1" applyFill="1" applyBorder="1" applyAlignment="1">
      <alignment horizontal="center"/>
    </xf>
    <xf numFmtId="0" fontId="31" fillId="17" borderId="5" xfId="0" applyFont="1" applyFill="1" applyBorder="1" applyAlignment="1">
      <alignment horizontal="center"/>
    </xf>
    <xf numFmtId="0" fontId="32" fillId="17" borderId="5" xfId="0" applyFont="1" applyFill="1" applyBorder="1" applyAlignment="1">
      <alignment horizontal="center"/>
    </xf>
    <xf numFmtId="0" fontId="32" fillId="17" borderId="55" xfId="0" applyFont="1" applyFill="1" applyBorder="1" applyAlignment="1">
      <alignment horizontal="center"/>
    </xf>
    <xf numFmtId="0" fontId="33" fillId="21" borderId="53" xfId="0" applyFont="1" applyFill="1" applyBorder="1" applyAlignment="1">
      <alignment horizontal="center"/>
    </xf>
    <xf numFmtId="0" fontId="32" fillId="0" borderId="3" xfId="0" applyFont="1" applyBorder="1"/>
    <xf numFmtId="0" fontId="34" fillId="17" borderId="25" xfId="0" applyFont="1" applyFill="1" applyBorder="1" applyAlignment="1">
      <alignment horizontal="center"/>
    </xf>
    <xf numFmtId="0" fontId="33" fillId="5" borderId="24" xfId="0" applyFont="1" applyFill="1" applyBorder="1" applyAlignment="1">
      <alignment horizontal="center"/>
    </xf>
    <xf numFmtId="0" fontId="32" fillId="0" borderId="45" xfId="0" applyFont="1" applyBorder="1" applyAlignment="1">
      <alignment horizontal="center" vertical="center"/>
    </xf>
    <xf numFmtId="0" fontId="32" fillId="0" borderId="56" xfId="0" applyFont="1" applyBorder="1" applyAlignment="1">
      <alignment horizontal="center" vertical="center"/>
    </xf>
    <xf numFmtId="0" fontId="32" fillId="0" borderId="43" xfId="0" applyFont="1" applyBorder="1" applyAlignment="1">
      <alignment horizontal="center" vertical="center"/>
    </xf>
    <xf numFmtId="0" fontId="33" fillId="24" borderId="1" xfId="0" applyFont="1" applyFill="1" applyBorder="1" applyAlignment="1">
      <alignment horizontal="center"/>
    </xf>
    <xf numFmtId="0" fontId="33" fillId="24" borderId="24" xfId="0" applyFont="1" applyFill="1" applyBorder="1" applyAlignment="1">
      <alignment horizontal="center"/>
    </xf>
    <xf numFmtId="49" fontId="31" fillId="0" borderId="44" xfId="0" applyNumberFormat="1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31" fillId="0" borderId="25" xfId="0" applyFont="1" applyBorder="1" applyAlignment="1">
      <alignment horizontal="center"/>
    </xf>
    <xf numFmtId="0" fontId="33" fillId="24" borderId="23" xfId="0" applyFont="1" applyFill="1" applyBorder="1" applyAlignment="1">
      <alignment horizontal="center"/>
    </xf>
    <xf numFmtId="0" fontId="29" fillId="25" borderId="58" xfId="0" applyFont="1" applyFill="1" applyBorder="1" applyAlignment="1">
      <alignment horizontal="center"/>
    </xf>
    <xf numFmtId="0" fontId="36" fillId="0" borderId="56" xfId="0" applyFont="1" applyBorder="1" applyAlignment="1">
      <alignment horizontal="center"/>
    </xf>
    <xf numFmtId="0" fontId="32" fillId="0" borderId="59" xfId="0" applyFont="1" applyBorder="1" applyAlignment="1">
      <alignment horizontal="center"/>
    </xf>
    <xf numFmtId="0" fontId="29" fillId="0" borderId="58" xfId="0" applyFont="1" applyBorder="1" applyAlignment="1">
      <alignment horizontal="center"/>
    </xf>
    <xf numFmtId="0" fontId="37" fillId="17" borderId="10" xfId="0" applyFont="1" applyFill="1" applyBorder="1" applyAlignment="1">
      <alignment horizontal="center"/>
    </xf>
    <xf numFmtId="0" fontId="38" fillId="17" borderId="44" xfId="0" applyFont="1" applyFill="1" applyBorder="1" applyAlignment="1">
      <alignment horizontal="center"/>
    </xf>
    <xf numFmtId="49" fontId="39" fillId="17" borderId="3" xfId="0" applyNumberFormat="1" applyFont="1" applyFill="1" applyBorder="1" applyAlignment="1">
      <alignment horizontal="center"/>
    </xf>
    <xf numFmtId="0" fontId="38" fillId="17" borderId="3" xfId="0" applyFont="1" applyFill="1" applyBorder="1" applyAlignment="1">
      <alignment horizontal="center"/>
    </xf>
    <xf numFmtId="0" fontId="40" fillId="17" borderId="3" xfId="0" applyFont="1" applyFill="1" applyBorder="1" applyAlignment="1">
      <alignment horizontal="center"/>
    </xf>
    <xf numFmtId="0" fontId="32" fillId="17" borderId="25" xfId="0" applyFont="1" applyFill="1" applyBorder="1" applyAlignment="1">
      <alignment horizontal="center"/>
    </xf>
    <xf numFmtId="0" fontId="33" fillId="20" borderId="11" xfId="0" applyFont="1" applyFill="1" applyBorder="1" applyAlignment="1">
      <alignment horizontal="center"/>
    </xf>
    <xf numFmtId="0" fontId="1" fillId="26" borderId="44" xfId="0" applyFont="1" applyFill="1" applyBorder="1" applyAlignment="1">
      <alignment horizontal="center"/>
    </xf>
    <xf numFmtId="0" fontId="33" fillId="20" borderId="15" xfId="0" applyFont="1" applyFill="1" applyBorder="1" applyAlignment="1">
      <alignment horizontal="center"/>
    </xf>
    <xf numFmtId="0" fontId="1" fillId="26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9" fontId="31" fillId="0" borderId="57" xfId="0" applyNumberFormat="1" applyFont="1" applyBorder="1" applyAlignment="1">
      <alignment horizontal="center"/>
    </xf>
    <xf numFmtId="49" fontId="31" fillId="0" borderId="56" xfId="0" applyNumberFormat="1" applyFont="1" applyBorder="1" applyAlignment="1">
      <alignment horizontal="center"/>
    </xf>
    <xf numFmtId="0" fontId="33" fillId="20" borderId="12" xfId="0" applyFont="1" applyFill="1" applyBorder="1" applyAlignment="1">
      <alignment horizontal="center"/>
    </xf>
    <xf numFmtId="0" fontId="33" fillId="20" borderId="0" xfId="0" applyFont="1" applyFill="1" applyAlignment="1">
      <alignment horizontal="center"/>
    </xf>
    <xf numFmtId="0" fontId="29" fillId="0" borderId="54" xfId="0" applyFont="1" applyBorder="1" applyAlignment="1">
      <alignment horizontal="center"/>
    </xf>
    <xf numFmtId="0" fontId="32" fillId="0" borderId="60" xfId="0" applyFont="1" applyBorder="1" applyAlignment="1">
      <alignment horizontal="center"/>
    </xf>
    <xf numFmtId="0" fontId="29" fillId="17" borderId="61" xfId="0" applyFont="1" applyFill="1" applyBorder="1" applyAlignment="1">
      <alignment horizontal="center"/>
    </xf>
    <xf numFmtId="0" fontId="34" fillId="17" borderId="44" xfId="0" applyFont="1" applyFill="1" applyBorder="1" applyAlignment="1">
      <alignment horizontal="center"/>
    </xf>
    <xf numFmtId="49" fontId="31" fillId="17" borderId="25" xfId="0" applyNumberFormat="1" applyFont="1" applyFill="1" applyBorder="1" applyAlignment="1">
      <alignment horizontal="center"/>
    </xf>
    <xf numFmtId="0" fontId="32" fillId="17" borderId="60" xfId="0" applyFont="1" applyFill="1" applyBorder="1" applyAlignment="1">
      <alignment horizontal="center"/>
    </xf>
    <xf numFmtId="0" fontId="33" fillId="27" borderId="15" xfId="0" applyFont="1" applyFill="1" applyBorder="1" applyAlignment="1">
      <alignment horizontal="center"/>
    </xf>
    <xf numFmtId="0" fontId="29" fillId="28" borderId="62" xfId="0" applyFont="1" applyFill="1" applyBorder="1" applyAlignment="1">
      <alignment horizontal="center"/>
    </xf>
    <xf numFmtId="0" fontId="31" fillId="0" borderId="63" xfId="0" applyFont="1" applyBorder="1" applyAlignment="1">
      <alignment horizontal="center"/>
    </xf>
    <xf numFmtId="0" fontId="32" fillId="0" borderId="63" xfId="0" applyFont="1" applyBorder="1" applyAlignment="1">
      <alignment horizontal="center"/>
    </xf>
    <xf numFmtId="0" fontId="33" fillId="0" borderId="16" xfId="0" applyFont="1" applyBorder="1" applyAlignment="1">
      <alignment horizontal="center"/>
    </xf>
    <xf numFmtId="0" fontId="29" fillId="17" borderId="13" xfId="0" applyFont="1" applyFill="1" applyBorder="1" applyAlignment="1">
      <alignment horizontal="center"/>
    </xf>
    <xf numFmtId="0" fontId="33" fillId="29" borderId="43" xfId="0" applyFont="1" applyFill="1" applyBorder="1" applyAlignment="1">
      <alignment horizontal="center"/>
    </xf>
    <xf numFmtId="0" fontId="29" fillId="0" borderId="62" xfId="0" applyFont="1" applyBorder="1" applyAlignment="1">
      <alignment horizontal="center"/>
    </xf>
    <xf numFmtId="0" fontId="32" fillId="0" borderId="57" xfId="0" applyFont="1" applyBorder="1" applyAlignment="1">
      <alignment horizontal="center"/>
    </xf>
    <xf numFmtId="0" fontId="33" fillId="29" borderId="0" xfId="0" applyFont="1" applyFill="1" applyAlignment="1">
      <alignment horizontal="center"/>
    </xf>
    <xf numFmtId="49" fontId="31" fillId="0" borderId="63" xfId="0" applyNumberFormat="1" applyFont="1" applyBorder="1" applyAlignment="1">
      <alignment horizontal="center"/>
    </xf>
    <xf numFmtId="0" fontId="32" fillId="28" borderId="3" xfId="0" applyFont="1" applyFill="1" applyBorder="1"/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12" fontId="43" fillId="0" borderId="0" xfId="0" applyNumberFormat="1" applyFont="1" applyAlignment="1">
      <alignment horizontal="center"/>
    </xf>
    <xf numFmtId="0" fontId="20" fillId="0" borderId="0" xfId="0" applyFont="1"/>
    <xf numFmtId="0" fontId="36" fillId="2" borderId="3" xfId="0" applyFont="1" applyFill="1" applyBorder="1" applyAlignment="1">
      <alignment horizontal="center" vertical="center" wrapText="1"/>
    </xf>
    <xf numFmtId="0" fontId="36" fillId="18" borderId="3" xfId="0" applyFont="1" applyFill="1" applyBorder="1" applyAlignment="1">
      <alignment horizontal="center" vertical="center" wrapText="1"/>
    </xf>
    <xf numFmtId="0" fontId="36" fillId="18" borderId="25" xfId="0" applyFont="1" applyFill="1" applyBorder="1" applyAlignment="1">
      <alignment horizontal="center" vertical="center" wrapText="1"/>
    </xf>
    <xf numFmtId="0" fontId="32" fillId="3" borderId="3" xfId="0" applyFont="1" applyFill="1" applyBorder="1" applyAlignment="1">
      <alignment horizontal="center"/>
    </xf>
    <xf numFmtId="0" fontId="46" fillId="0" borderId="0" xfId="0" applyFont="1" applyAlignment="1">
      <alignment vertical="center"/>
    </xf>
    <xf numFmtId="0" fontId="47" fillId="19" borderId="3" xfId="0" applyFont="1" applyFill="1" applyBorder="1" applyAlignment="1">
      <alignment horizontal="center"/>
    </xf>
    <xf numFmtId="0" fontId="47" fillId="17" borderId="3" xfId="0" applyFont="1" applyFill="1" applyBorder="1" applyAlignment="1">
      <alignment horizontal="center"/>
    </xf>
    <xf numFmtId="0" fontId="47" fillId="22" borderId="3" xfId="0" applyFont="1" applyFill="1" applyBorder="1" applyAlignment="1">
      <alignment horizontal="center"/>
    </xf>
    <xf numFmtId="0" fontId="47" fillId="22" borderId="3" xfId="0" applyFont="1" applyFill="1" applyBorder="1" applyAlignment="1">
      <alignment horizontal="center" vertical="center"/>
    </xf>
    <xf numFmtId="0" fontId="47" fillId="17" borderId="5" xfId="0" applyFont="1" applyFill="1" applyBorder="1" applyAlignment="1">
      <alignment horizontal="center"/>
    </xf>
    <xf numFmtId="0" fontId="47" fillId="22" borderId="25" xfId="0" applyFont="1" applyFill="1" applyBorder="1" applyAlignment="1">
      <alignment horizontal="center"/>
    </xf>
    <xf numFmtId="0" fontId="48" fillId="17" borderId="3" xfId="0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1" applyFont="1" applyAlignment="1">
      <alignment horizontal="center" vertical="center" wrapText="1"/>
    </xf>
    <xf numFmtId="0" fontId="51" fillId="0" borderId="0" xfId="1" applyFont="1" applyAlignment="1">
      <alignment vertical="center" wrapText="1"/>
    </xf>
    <xf numFmtId="0" fontId="51" fillId="0" borderId="0" xfId="4" applyFont="1" applyAlignment="1">
      <alignment horizontal="center" vertical="center" wrapText="1"/>
    </xf>
    <xf numFmtId="0" fontId="51" fillId="0" borderId="0" xfId="4" applyFont="1" applyAlignment="1">
      <alignment vertical="center" wrapText="1"/>
    </xf>
    <xf numFmtId="0" fontId="51" fillId="31" borderId="18" xfId="1" applyFont="1" applyFill="1" applyBorder="1" applyAlignment="1">
      <alignment horizontal="center" vertical="center" wrapText="1"/>
    </xf>
    <xf numFmtId="0" fontId="52" fillId="30" borderId="18" xfId="0" applyFont="1" applyFill="1" applyBorder="1" applyAlignment="1">
      <alignment horizontal="center" vertical="center"/>
    </xf>
    <xf numFmtId="0" fontId="51" fillId="31" borderId="64" xfId="4" applyFont="1" applyFill="1" applyBorder="1" applyAlignment="1">
      <alignment horizontal="center" vertical="center" wrapText="1"/>
    </xf>
    <xf numFmtId="0" fontId="52" fillId="33" borderId="9" xfId="0" applyFont="1" applyFill="1" applyBorder="1"/>
    <xf numFmtId="0" fontId="52" fillId="33" borderId="4" xfId="0" applyFont="1" applyFill="1" applyBorder="1"/>
    <xf numFmtId="0" fontId="52" fillId="34" borderId="18" xfId="0" applyFont="1" applyFill="1" applyBorder="1" applyAlignment="1">
      <alignment horizontal="center" vertical="center"/>
    </xf>
    <xf numFmtId="0" fontId="56" fillId="7" borderId="54" xfId="0" applyFont="1" applyFill="1" applyBorder="1" applyAlignment="1">
      <alignment horizontal="center" vertical="center"/>
    </xf>
    <xf numFmtId="0" fontId="56" fillId="7" borderId="25" xfId="0" applyFont="1" applyFill="1" applyBorder="1" applyAlignment="1">
      <alignment horizontal="center" vertical="center"/>
    </xf>
    <xf numFmtId="0" fontId="56" fillId="7" borderId="65" xfId="0" applyFont="1" applyFill="1" applyBorder="1" applyAlignment="1">
      <alignment horizontal="center" vertical="center"/>
    </xf>
    <xf numFmtId="0" fontId="57" fillId="0" borderId="66" xfId="0" applyFont="1" applyBorder="1" applyAlignment="1">
      <alignment horizontal="center" vertical="center"/>
    </xf>
    <xf numFmtId="0" fontId="12" fillId="0" borderId="0" xfId="0" applyFont="1"/>
    <xf numFmtId="0" fontId="59" fillId="0" borderId="0" xfId="0" applyFont="1"/>
    <xf numFmtId="0" fontId="19" fillId="31" borderId="3" xfId="3" applyFont="1" applyFill="1" applyBorder="1" applyAlignment="1" applyProtection="1">
      <alignment horizontal="center" vertical="center" wrapText="1"/>
      <protection locked="0"/>
    </xf>
    <xf numFmtId="0" fontId="51" fillId="31" borderId="18" xfId="4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34" borderId="17" xfId="0" applyFont="1" applyFill="1" applyBorder="1" applyAlignment="1">
      <alignment horizontal="center" vertical="center"/>
    </xf>
    <xf numFmtId="0" fontId="2" fillId="31" borderId="3" xfId="1" applyFont="1" applyFill="1" applyBorder="1" applyAlignment="1">
      <alignment horizontal="center" vertical="center" wrapText="1"/>
    </xf>
    <xf numFmtId="12" fontId="5" fillId="4" borderId="3" xfId="4" applyNumberFormat="1" applyFont="1" applyFill="1" applyBorder="1" applyAlignment="1">
      <alignment horizontal="center" vertical="center" wrapText="1"/>
    </xf>
    <xf numFmtId="0" fontId="2" fillId="14" borderId="3" xfId="1" applyFont="1" applyFill="1" applyBorder="1" applyAlignment="1">
      <alignment horizontal="center" vertical="center" wrapText="1"/>
    </xf>
    <xf numFmtId="0" fontId="17" fillId="31" borderId="3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 wrapText="1"/>
    </xf>
    <xf numFmtId="0" fontId="58" fillId="14" borderId="3" xfId="1" applyFont="1" applyFill="1" applyBorder="1" applyAlignment="1">
      <alignment horizontal="center" vertical="center" wrapText="1"/>
    </xf>
    <xf numFmtId="0" fontId="56" fillId="31" borderId="3" xfId="0" applyFont="1" applyFill="1" applyBorder="1" applyAlignment="1">
      <alignment horizontal="center" vertical="center" wrapText="1"/>
    </xf>
    <xf numFmtId="0" fontId="14" fillId="35" borderId="3" xfId="3" applyFont="1" applyFill="1" applyBorder="1" applyAlignment="1" applyProtection="1">
      <alignment horizontal="center" vertical="center"/>
      <protection locked="0"/>
    </xf>
    <xf numFmtId="0" fontId="56" fillId="7" borderId="3" xfId="0" applyFont="1" applyFill="1" applyBorder="1" applyAlignment="1">
      <alignment horizontal="center" vertical="center"/>
    </xf>
    <xf numFmtId="0" fontId="19" fillId="36" borderId="13" xfId="3" applyFont="1" applyFill="1" applyBorder="1" applyAlignment="1" applyProtection="1">
      <alignment horizontal="center" vertical="center" wrapText="1"/>
      <protection locked="0"/>
    </xf>
    <xf numFmtId="0" fontId="16" fillId="36" borderId="3" xfId="3" applyFont="1" applyFill="1" applyBorder="1" applyAlignment="1" applyProtection="1">
      <alignment horizontal="center" vertical="center" wrapText="1"/>
      <protection locked="0"/>
    </xf>
    <xf numFmtId="0" fontId="19" fillId="38" borderId="3" xfId="3" applyFont="1" applyFill="1" applyBorder="1" applyAlignment="1" applyProtection="1">
      <alignment horizontal="center" vertical="center" wrapText="1"/>
      <protection locked="0"/>
    </xf>
    <xf numFmtId="0" fontId="82" fillId="14" borderId="3" xfId="0" applyFont="1" applyFill="1" applyBorder="1" applyAlignment="1">
      <alignment horizontal="center" vertical="center"/>
    </xf>
    <xf numFmtId="0" fontId="82" fillId="14" borderId="61" xfId="0" applyFont="1" applyFill="1" applyBorder="1" applyAlignment="1">
      <alignment horizontal="center" vertical="center"/>
    </xf>
    <xf numFmtId="0" fontId="82" fillId="14" borderId="65" xfId="0" applyFont="1" applyFill="1" applyBorder="1" applyAlignment="1">
      <alignment horizontal="center" vertical="center"/>
    </xf>
    <xf numFmtId="0" fontId="82" fillId="14" borderId="65" xfId="0" applyFont="1" applyFill="1" applyBorder="1" applyAlignment="1">
      <alignment horizontal="center" vertical="center" wrapText="1"/>
    </xf>
    <xf numFmtId="0" fontId="2" fillId="35" borderId="3" xfId="3" applyFont="1" applyFill="1" applyBorder="1" applyAlignment="1" applyProtection="1">
      <alignment horizontal="center" vertical="center"/>
      <protection locked="0"/>
    </xf>
    <xf numFmtId="0" fontId="2" fillId="35" borderId="3" xfId="1" applyFont="1" applyFill="1" applyBorder="1" applyAlignment="1">
      <alignment horizontal="center" vertical="center" wrapText="1"/>
    </xf>
    <xf numFmtId="0" fontId="17" fillId="35" borderId="3" xfId="0" applyFont="1" applyFill="1" applyBorder="1" applyAlignment="1">
      <alignment horizontal="center" vertical="center"/>
    </xf>
    <xf numFmtId="0" fontId="0" fillId="35" borderId="3" xfId="0" applyFill="1" applyBorder="1"/>
    <xf numFmtId="0" fontId="0" fillId="35" borderId="18" xfId="0" applyFill="1" applyBorder="1"/>
    <xf numFmtId="0" fontId="83" fillId="32" borderId="3" xfId="0" applyFont="1" applyFill="1" applyBorder="1" applyAlignment="1">
      <alignment horizontal="center" vertical="center"/>
    </xf>
    <xf numFmtId="0" fontId="83" fillId="32" borderId="70" xfId="0" applyFont="1" applyFill="1" applyBorder="1" applyAlignment="1">
      <alignment horizontal="center" vertical="center"/>
    </xf>
    <xf numFmtId="0" fontId="83" fillId="32" borderId="65" xfId="0" applyFont="1" applyFill="1" applyBorder="1" applyAlignment="1">
      <alignment horizontal="center" vertical="center"/>
    </xf>
    <xf numFmtId="0" fontId="84" fillId="32" borderId="3" xfId="3" applyFont="1" applyFill="1" applyBorder="1" applyAlignment="1" applyProtection="1">
      <alignment horizontal="center" vertical="center"/>
      <protection locked="0"/>
    </xf>
    <xf numFmtId="0" fontId="7" fillId="32" borderId="3" xfId="3" applyFont="1" applyFill="1" applyBorder="1" applyAlignment="1" applyProtection="1">
      <alignment horizontal="center" vertical="center"/>
      <protection locked="0"/>
    </xf>
    <xf numFmtId="0" fontId="17" fillId="32" borderId="3" xfId="0" applyFont="1" applyFill="1" applyBorder="1" applyAlignment="1">
      <alignment horizontal="center" vertical="center"/>
    </xf>
    <xf numFmtId="0" fontId="2" fillId="32" borderId="3" xfId="1" applyFont="1" applyFill="1" applyBorder="1" applyAlignment="1">
      <alignment horizontal="center" vertical="center" wrapText="1"/>
    </xf>
    <xf numFmtId="0" fontId="5" fillId="26" borderId="3" xfId="1" applyFont="1" applyFill="1" applyBorder="1" applyAlignment="1">
      <alignment horizontal="center" vertical="center" wrapText="1"/>
    </xf>
    <xf numFmtId="0" fontId="6" fillId="26" borderId="3" xfId="0" applyFont="1" applyFill="1" applyBorder="1" applyAlignment="1">
      <alignment horizontal="center" vertical="center"/>
    </xf>
    <xf numFmtId="0" fontId="6" fillId="26" borderId="3" xfId="0" applyFont="1" applyFill="1" applyBorder="1" applyAlignment="1">
      <alignment horizontal="center" vertical="center" wrapText="1"/>
    </xf>
    <xf numFmtId="0" fontId="6" fillId="26" borderId="3" xfId="1" applyFont="1" applyFill="1" applyBorder="1" applyAlignment="1">
      <alignment horizontal="center" vertical="center"/>
    </xf>
    <xf numFmtId="0" fontId="6" fillId="26" borderId="25" xfId="0" applyFont="1" applyFill="1" applyBorder="1" applyAlignment="1">
      <alignment horizontal="center" vertical="center" wrapText="1"/>
    </xf>
    <xf numFmtId="0" fontId="6" fillId="26" borderId="25" xfId="0" applyFont="1" applyFill="1" applyBorder="1" applyAlignment="1">
      <alignment horizontal="center" vertical="center"/>
    </xf>
    <xf numFmtId="3" fontId="3" fillId="37" borderId="3" xfId="0" applyNumberFormat="1" applyFont="1" applyFill="1" applyBorder="1" applyAlignment="1">
      <alignment horizontal="center" vertical="center"/>
    </xf>
    <xf numFmtId="0" fontId="56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3" fontId="2" fillId="3" borderId="3" xfId="2" applyNumberFormat="1" applyFont="1" applyFill="1" applyBorder="1" applyAlignment="1" applyProtection="1">
      <alignment horizontal="center" vertical="center" wrapText="1"/>
      <protection locked="0"/>
    </xf>
    <xf numFmtId="3" fontId="2" fillId="3" borderId="18" xfId="2" applyNumberFormat="1" applyFont="1" applyFill="1" applyBorder="1" applyAlignment="1" applyProtection="1">
      <alignment horizontal="center" vertical="center" wrapText="1"/>
      <protection locked="0"/>
    </xf>
    <xf numFmtId="0" fontId="56" fillId="7" borderId="65" xfId="0" applyFont="1" applyFill="1" applyBorder="1" applyAlignment="1">
      <alignment horizontal="center" vertical="center" wrapText="1"/>
    </xf>
    <xf numFmtId="1" fontId="7" fillId="39" borderId="20" xfId="3" applyNumberFormat="1" applyFont="1" applyFill="1" applyBorder="1" applyAlignment="1" applyProtection="1">
      <alignment horizontal="center" vertical="center"/>
      <protection locked="0"/>
    </xf>
    <xf numFmtId="1" fontId="7" fillId="39" borderId="3" xfId="3" applyNumberFormat="1" applyFont="1" applyFill="1" applyBorder="1" applyAlignment="1" applyProtection="1">
      <alignment horizontal="center" vertical="center" wrapText="1"/>
      <protection locked="0"/>
    </xf>
    <xf numFmtId="0" fontId="52" fillId="33" borderId="4" xfId="0" applyFont="1" applyFill="1" applyBorder="1" applyAlignment="1">
      <alignment horizontal="center"/>
    </xf>
    <xf numFmtId="0" fontId="52" fillId="33" borderId="21" xfId="0" applyFont="1" applyFill="1" applyBorder="1" applyAlignment="1">
      <alignment horizontal="center"/>
    </xf>
    <xf numFmtId="0" fontId="62" fillId="0" borderId="9" xfId="0" applyFont="1" applyBorder="1" applyAlignment="1">
      <alignment horizontal="center" vertical="center" textRotation="90"/>
    </xf>
    <xf numFmtId="0" fontId="62" fillId="0" borderId="10" xfId="0" applyFont="1" applyBorder="1" applyAlignment="1">
      <alignment horizontal="center" vertical="center" textRotation="90"/>
    </xf>
    <xf numFmtId="0" fontId="19" fillId="3" borderId="18" xfId="3" applyFont="1" applyFill="1" applyBorder="1" applyAlignment="1" applyProtection="1">
      <alignment horizontal="center" vertical="center" wrapText="1"/>
      <protection locked="0"/>
    </xf>
    <xf numFmtId="0" fontId="19" fillId="3" borderId="3" xfId="3" applyFont="1" applyFill="1" applyBorder="1" applyAlignment="1" applyProtection="1">
      <alignment horizontal="center" vertical="center" wrapText="1"/>
      <protection locked="0"/>
    </xf>
    <xf numFmtId="0" fontId="2" fillId="0" borderId="4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2" fillId="37" borderId="3" xfId="2" applyFont="1" applyFill="1" applyBorder="1" applyAlignment="1" applyProtection="1">
      <alignment horizontal="center" vertical="center" wrapText="1"/>
      <protection locked="0"/>
    </xf>
    <xf numFmtId="0" fontId="19" fillId="39" borderId="21" xfId="4" applyFont="1" applyFill="1" applyBorder="1" applyAlignment="1">
      <alignment horizontal="center" vertical="center" wrapText="1"/>
    </xf>
    <xf numFmtId="0" fontId="19" fillId="39" borderId="20" xfId="4" applyFont="1" applyFill="1" applyBorder="1" applyAlignment="1">
      <alignment horizontal="center" vertical="center" wrapText="1"/>
    </xf>
    <xf numFmtId="0" fontId="2" fillId="0" borderId="4" xfId="1" applyFont="1" applyBorder="1" applyAlignment="1">
      <alignment horizontal="center" vertical="center" wrapText="1"/>
    </xf>
    <xf numFmtId="0" fontId="4" fillId="26" borderId="4" xfId="1" applyFont="1" applyFill="1" applyBorder="1" applyAlignment="1">
      <alignment horizontal="center" vertical="center"/>
    </xf>
    <xf numFmtId="0" fontId="44" fillId="4" borderId="4" xfId="0" applyFont="1" applyFill="1" applyBorder="1" applyAlignment="1">
      <alignment horizontal="center"/>
    </xf>
    <xf numFmtId="12" fontId="5" fillId="36" borderId="4" xfId="4" applyNumberFormat="1" applyFont="1" applyFill="1" applyBorder="1" applyAlignment="1">
      <alignment horizontal="center" vertical="center" wrapText="1"/>
    </xf>
    <xf numFmtId="12" fontId="5" fillId="36" borderId="3" xfId="4" applyNumberFormat="1" applyFont="1" applyFill="1" applyBorder="1" applyAlignment="1">
      <alignment horizontal="center" vertical="center" wrapText="1"/>
    </xf>
    <xf numFmtId="0" fontId="2" fillId="31" borderId="4" xfId="1" applyFont="1" applyFill="1" applyBorder="1" applyAlignment="1">
      <alignment horizontal="center" vertical="center" wrapText="1"/>
    </xf>
    <xf numFmtId="0" fontId="2" fillId="31" borderId="3" xfId="1" applyFont="1" applyFill="1" applyBorder="1" applyAlignment="1">
      <alignment horizontal="center" vertical="center" wrapText="1"/>
    </xf>
    <xf numFmtId="0" fontId="2" fillId="35" borderId="4" xfId="1" applyFont="1" applyFill="1" applyBorder="1" applyAlignment="1">
      <alignment horizontal="center" vertical="center"/>
    </xf>
    <xf numFmtId="0" fontId="2" fillId="32" borderId="4" xfId="1" applyFont="1" applyFill="1" applyBorder="1" applyAlignment="1">
      <alignment horizontal="center" vertical="center" wrapText="1"/>
    </xf>
    <xf numFmtId="0" fontId="2" fillId="32" borderId="3" xfId="1" applyFont="1" applyFill="1" applyBorder="1" applyAlignment="1">
      <alignment horizontal="center" vertical="center"/>
    </xf>
    <xf numFmtId="0" fontId="2" fillId="7" borderId="4" xfId="4" applyFont="1" applyFill="1" applyBorder="1" applyAlignment="1">
      <alignment horizontal="center" vertical="center"/>
    </xf>
    <xf numFmtId="0" fontId="60" fillId="0" borderId="10" xfId="0" applyFont="1" applyBorder="1" applyAlignment="1">
      <alignment horizontal="center" vertical="center"/>
    </xf>
    <xf numFmtId="0" fontId="2" fillId="14" borderId="4" xfId="1" applyFont="1" applyFill="1" applyBorder="1" applyAlignment="1">
      <alignment horizontal="center" vertical="center"/>
    </xf>
    <xf numFmtId="0" fontId="80" fillId="0" borderId="10" xfId="0" applyFont="1" applyBorder="1" applyAlignment="1">
      <alignment horizontal="center" vertical="center" textRotation="90"/>
    </xf>
    <xf numFmtId="0" fontId="80" fillId="0" borderId="17" xfId="0" applyFont="1" applyBorder="1" applyAlignment="1">
      <alignment horizontal="center" vertical="center" textRotation="90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3" fillId="9" borderId="23" xfId="0" applyFont="1" applyFill="1" applyBorder="1" applyAlignment="1">
      <alignment horizontal="center" vertical="center" textRotation="90"/>
    </xf>
    <xf numFmtId="0" fontId="23" fillId="9" borderId="35" xfId="0" applyFont="1" applyFill="1" applyBorder="1" applyAlignment="1">
      <alignment horizontal="center" vertical="center" textRotation="90"/>
    </xf>
    <xf numFmtId="0" fontId="23" fillId="9" borderId="24" xfId="0" applyFont="1" applyFill="1" applyBorder="1" applyAlignment="1">
      <alignment horizontal="center" vertical="center" textRotation="90"/>
    </xf>
    <xf numFmtId="0" fontId="23" fillId="10" borderId="26" xfId="0" applyFont="1" applyFill="1" applyBorder="1" applyAlignment="1">
      <alignment horizontal="center" vertical="center"/>
    </xf>
    <xf numFmtId="0" fontId="23" fillId="10" borderId="30" xfId="0" applyFont="1" applyFill="1" applyBorder="1" applyAlignment="1">
      <alignment horizontal="center" vertical="center"/>
    </xf>
    <xf numFmtId="0" fontId="23" fillId="11" borderId="27" xfId="0" applyFont="1" applyFill="1" applyBorder="1" applyAlignment="1">
      <alignment horizontal="center" vertical="center" wrapText="1"/>
    </xf>
    <xf numFmtId="0" fontId="23" fillId="11" borderId="36" xfId="0" applyFont="1" applyFill="1" applyBorder="1" applyAlignment="1">
      <alignment horizontal="center" vertical="center" wrapText="1"/>
    </xf>
    <xf numFmtId="0" fontId="23" fillId="12" borderId="28" xfId="0" applyFont="1" applyFill="1" applyBorder="1" applyAlignment="1">
      <alignment horizontal="center" vertical="center"/>
    </xf>
    <xf numFmtId="0" fontId="25" fillId="12" borderId="37" xfId="0" applyFont="1" applyFill="1" applyBorder="1" applyAlignment="1">
      <alignment horizontal="center" vertical="center"/>
    </xf>
    <xf numFmtId="0" fontId="25" fillId="12" borderId="46" xfId="0" applyFont="1" applyFill="1" applyBorder="1" applyAlignment="1">
      <alignment horizontal="center" vertical="center"/>
    </xf>
    <xf numFmtId="0" fontId="23" fillId="6" borderId="27" xfId="0" applyFont="1" applyFill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24" fillId="0" borderId="29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 wrapText="1"/>
    </xf>
    <xf numFmtId="0" fontId="23" fillId="0" borderId="48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23" fillId="13" borderId="31" xfId="0" applyFont="1" applyFill="1" applyBorder="1" applyAlignment="1">
      <alignment horizontal="center"/>
    </xf>
    <xf numFmtId="0" fontId="1" fillId="0" borderId="32" xfId="0" applyFont="1" applyBorder="1"/>
    <xf numFmtId="0" fontId="23" fillId="14" borderId="29" xfId="0" applyFont="1" applyFill="1" applyBorder="1" applyAlignment="1">
      <alignment horizontal="center"/>
    </xf>
    <xf numFmtId="0" fontId="23" fillId="14" borderId="34" xfId="0" applyFont="1" applyFill="1" applyBorder="1" applyAlignment="1">
      <alignment horizontal="center"/>
    </xf>
    <xf numFmtId="0" fontId="23" fillId="13" borderId="39" xfId="0" applyFont="1" applyFill="1" applyBorder="1" applyAlignment="1">
      <alignment horizontal="center" vertical="center" wrapText="1"/>
    </xf>
    <xf numFmtId="0" fontId="1" fillId="13" borderId="49" xfId="0" applyFont="1" applyFill="1" applyBorder="1" applyAlignment="1">
      <alignment horizontal="center" vertical="center" wrapText="1"/>
    </xf>
    <xf numFmtId="0" fontId="23" fillId="13" borderId="40" xfId="0" applyFont="1" applyFill="1" applyBorder="1" applyAlignment="1">
      <alignment horizontal="center" vertical="center" wrapText="1"/>
    </xf>
    <xf numFmtId="0" fontId="1" fillId="13" borderId="50" xfId="0" applyFont="1" applyFill="1" applyBorder="1" applyAlignment="1">
      <alignment vertical="center" wrapText="1"/>
    </xf>
    <xf numFmtId="0" fontId="23" fillId="15" borderId="3" xfId="0" applyFont="1" applyFill="1" applyBorder="1" applyAlignment="1">
      <alignment horizontal="center" vertical="center" wrapText="1"/>
    </xf>
    <xf numFmtId="0" fontId="23" fillId="15" borderId="3" xfId="0" applyFont="1" applyFill="1" applyBorder="1" applyAlignment="1">
      <alignment horizontal="center" vertical="center"/>
    </xf>
    <xf numFmtId="0" fontId="1" fillId="13" borderId="50" xfId="0" applyFont="1" applyFill="1" applyBorder="1" applyAlignment="1">
      <alignment horizontal="center" wrapText="1"/>
    </xf>
    <xf numFmtId="0" fontId="1" fillId="13" borderId="50" xfId="0" applyFont="1" applyFill="1" applyBorder="1" applyAlignment="1">
      <alignment horizontal="center" vertical="center" wrapText="1"/>
    </xf>
    <xf numFmtId="0" fontId="23" fillId="0" borderId="50" xfId="0" applyFont="1" applyBorder="1" applyAlignment="1">
      <alignment horizontal="center" vertical="center" wrapText="1"/>
    </xf>
    <xf numFmtId="0" fontId="23" fillId="15" borderId="3" xfId="0" applyFont="1" applyFill="1" applyBorder="1" applyAlignment="1">
      <alignment horizontal="center"/>
    </xf>
    <xf numFmtId="0" fontId="23" fillId="15" borderId="3" xfId="0" applyFont="1" applyFill="1" applyBorder="1" applyAlignment="1">
      <alignment horizontal="center" vertical="center" wrapText="1" readingOrder="1"/>
    </xf>
    <xf numFmtId="0" fontId="23" fillId="14" borderId="67" xfId="0" applyFont="1" applyFill="1" applyBorder="1" applyAlignment="1">
      <alignment horizontal="center" vertical="center"/>
    </xf>
    <xf numFmtId="0" fontId="23" fillId="14" borderId="49" xfId="0" applyFont="1" applyFill="1" applyBorder="1" applyAlignment="1">
      <alignment horizontal="center" vertical="center"/>
    </xf>
    <xf numFmtId="0" fontId="23" fillId="14" borderId="68" xfId="0" applyFont="1" applyFill="1" applyBorder="1" applyAlignment="1">
      <alignment horizontal="center" vertical="center"/>
    </xf>
    <xf numFmtId="0" fontId="23" fillId="14" borderId="69" xfId="0" applyFont="1" applyFill="1" applyBorder="1" applyAlignment="1">
      <alignment horizontal="center" vertical="center"/>
    </xf>
    <xf numFmtId="0" fontId="45" fillId="8" borderId="1" xfId="4" applyFont="1" applyFill="1" applyBorder="1" applyAlignment="1">
      <alignment horizontal="center" vertical="center" wrapText="1"/>
    </xf>
    <xf numFmtId="0" fontId="45" fillId="8" borderId="2" xfId="4" applyFont="1" applyFill="1" applyBorder="1" applyAlignment="1">
      <alignment horizontal="center" vertical="center" wrapText="1"/>
    </xf>
    <xf numFmtId="0" fontId="26" fillId="17" borderId="5" xfId="0" applyFont="1" applyFill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0" fontId="26" fillId="17" borderId="42" xfId="0" applyFont="1" applyFill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3" fillId="16" borderId="4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  <xf numFmtId="0" fontId="23" fillId="16" borderId="42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/>
    </xf>
    <xf numFmtId="0" fontId="23" fillId="16" borderId="33" xfId="0" applyFont="1" applyFill="1" applyBorder="1" applyAlignment="1">
      <alignment horizontal="center"/>
    </xf>
    <xf numFmtId="0" fontId="26" fillId="17" borderId="6" xfId="0" applyFont="1" applyFill="1" applyBorder="1" applyAlignment="1">
      <alignment horizontal="center"/>
    </xf>
    <xf numFmtId="0" fontId="26" fillId="17" borderId="7" xfId="0" applyFont="1" applyFill="1" applyBorder="1" applyAlignment="1">
      <alignment horizontal="center"/>
    </xf>
    <xf numFmtId="0" fontId="26" fillId="17" borderId="8" xfId="0" applyFont="1" applyFill="1" applyBorder="1" applyAlignment="1">
      <alignment horizontal="center"/>
    </xf>
    <xf numFmtId="0" fontId="26" fillId="17" borderId="41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51" fillId="30" borderId="18" xfId="1" applyFont="1" applyFill="1" applyBorder="1" applyAlignment="1">
      <alignment horizontal="center" vertical="center" wrapText="1"/>
    </xf>
  </cellXfs>
  <cellStyles count="5">
    <cellStyle name="_x0004_" xfId="3" xr:uid="{EF4C2EDB-B4D7-4EBA-980B-6F1C2A54652E}"/>
    <cellStyle name="AutoFormat-Optionen" xfId="1" xr:uid="{97112D39-06B2-4AF8-A200-C0863FA4857F}"/>
    <cellStyle name="Normal" xfId="0" builtinId="0"/>
    <cellStyle name="Normal 2" xfId="2" xr:uid="{2D8C0060-4B4A-45B7-94A7-59F707C03ADF}"/>
    <cellStyle name="Normal_Feuil1" xfId="4" xr:uid="{402456B2-2370-4DC5-B3F2-124360E0206D}"/>
  </cellStyles>
  <dxfs count="0"/>
  <tableStyles count="0" defaultTableStyle="TableStyleMedium2" defaultPivotStyle="PivotStyleLight16"/>
  <colors>
    <mruColors>
      <color rgb="FF00FF00"/>
      <color rgb="FF33CC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</xdr:colOff>
      <xdr:row>17</xdr:row>
      <xdr:rowOff>0</xdr:rowOff>
    </xdr:from>
    <xdr:to>
      <xdr:col>2</xdr:col>
      <xdr:colOff>594360</xdr:colOff>
      <xdr:row>17</xdr:row>
      <xdr:rowOff>0</xdr:rowOff>
    </xdr:to>
    <xdr:pic>
      <xdr:nvPicPr>
        <xdr:cNvPr id="24" name="Picture 1784">
          <a:extLst>
            <a:ext uri="{FF2B5EF4-FFF2-40B4-BE49-F238E27FC236}">
              <a16:creationId xmlns:a16="http://schemas.microsoft.com/office/drawing/2014/main" id="{1981AAFD-CF52-485F-B678-C84135412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" y="13792200"/>
          <a:ext cx="56388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89204</xdr:colOff>
      <xdr:row>9</xdr:row>
      <xdr:rowOff>399144</xdr:rowOff>
    </xdr:from>
    <xdr:to>
      <xdr:col>3</xdr:col>
      <xdr:colOff>625824</xdr:colOff>
      <xdr:row>9</xdr:row>
      <xdr:rowOff>907144</xdr:rowOff>
    </xdr:to>
    <xdr:pic>
      <xdr:nvPicPr>
        <xdr:cNvPr id="25" name="Image 5">
          <a:extLst>
            <a:ext uri="{FF2B5EF4-FFF2-40B4-BE49-F238E27FC236}">
              <a16:creationId xmlns:a16="http://schemas.microsoft.com/office/drawing/2014/main" id="{0623B3C9-B469-498F-93D6-6832E9B407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775" y="4426858"/>
          <a:ext cx="1334906" cy="50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125741</xdr:colOff>
      <xdr:row>10</xdr:row>
      <xdr:rowOff>18970</xdr:rowOff>
    </xdr:from>
    <xdr:to>
      <xdr:col>3</xdr:col>
      <xdr:colOff>219891</xdr:colOff>
      <xdr:row>10</xdr:row>
      <xdr:rowOff>1076477</xdr:rowOff>
    </xdr:to>
    <xdr:pic>
      <xdr:nvPicPr>
        <xdr:cNvPr id="26" name="Image 7">
          <a:extLst>
            <a:ext uri="{FF2B5EF4-FFF2-40B4-BE49-F238E27FC236}">
              <a16:creationId xmlns:a16="http://schemas.microsoft.com/office/drawing/2014/main" id="{C6CEE082-9DCF-4C9E-A12E-BD0C3E6D3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2312" y="5401351"/>
          <a:ext cx="892436" cy="10575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920592</xdr:colOff>
      <xdr:row>16</xdr:row>
      <xdr:rowOff>0</xdr:rowOff>
    </xdr:from>
    <xdr:to>
      <xdr:col>2</xdr:col>
      <xdr:colOff>1069420</xdr:colOff>
      <xdr:row>16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857A29A-5925-476F-82BA-41FF975497EA}"/>
            </a:ext>
          </a:extLst>
        </xdr:cNvPr>
        <xdr:cNvSpPr/>
      </xdr:nvSpPr>
      <xdr:spPr>
        <a:xfrm>
          <a:off x="920592" y="12550140"/>
          <a:ext cx="148828" cy="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 editAs="oneCell">
    <xdr:from>
      <xdr:col>2</xdr:col>
      <xdr:colOff>27159</xdr:colOff>
      <xdr:row>11</xdr:row>
      <xdr:rowOff>411238</xdr:rowOff>
    </xdr:from>
    <xdr:to>
      <xdr:col>3</xdr:col>
      <xdr:colOff>727817</xdr:colOff>
      <xdr:row>11</xdr:row>
      <xdr:rowOff>920448</xdr:rowOff>
    </xdr:to>
    <xdr:pic>
      <xdr:nvPicPr>
        <xdr:cNvPr id="34" name="Image 6">
          <a:extLst>
            <a:ext uri="{FF2B5EF4-FFF2-40B4-BE49-F238E27FC236}">
              <a16:creationId xmlns:a16="http://schemas.microsoft.com/office/drawing/2014/main" id="{77C3E246-F376-43E3-94EF-AA8CEAB8E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3730" y="6918476"/>
          <a:ext cx="1498944" cy="5092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441355</xdr:colOff>
      <xdr:row>12</xdr:row>
      <xdr:rowOff>12095</xdr:rowOff>
    </xdr:from>
    <xdr:to>
      <xdr:col>3</xdr:col>
      <xdr:colOff>133048</xdr:colOff>
      <xdr:row>12</xdr:row>
      <xdr:rowOff>959971</xdr:rowOff>
    </xdr:to>
    <xdr:pic>
      <xdr:nvPicPr>
        <xdr:cNvPr id="46" name="Image 3">
          <a:extLst>
            <a:ext uri="{FF2B5EF4-FFF2-40B4-BE49-F238E27FC236}">
              <a16:creationId xmlns:a16="http://schemas.microsoft.com/office/drawing/2014/main" id="{78D017FC-2EF2-44FB-B46A-C3896732F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7926" y="7511143"/>
          <a:ext cx="489979" cy="947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145141</xdr:colOff>
      <xdr:row>14</xdr:row>
      <xdr:rowOff>63551</xdr:rowOff>
    </xdr:from>
    <xdr:to>
      <xdr:col>3</xdr:col>
      <xdr:colOff>205618</xdr:colOff>
      <xdr:row>14</xdr:row>
      <xdr:rowOff>895049</xdr:rowOff>
    </xdr:to>
    <xdr:pic>
      <xdr:nvPicPr>
        <xdr:cNvPr id="47" name="Image 5">
          <a:extLst>
            <a:ext uri="{FF2B5EF4-FFF2-40B4-BE49-F238E27FC236}">
              <a16:creationId xmlns:a16="http://schemas.microsoft.com/office/drawing/2014/main" id="{573362D6-D6B9-4328-8172-C0B67F0C5B0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9063" b="15572"/>
        <a:stretch>
          <a:fillRect/>
        </a:stretch>
      </xdr:blipFill>
      <xdr:spPr bwMode="auto">
        <a:xfrm>
          <a:off x="1741712" y="9485741"/>
          <a:ext cx="858763" cy="8314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225818</xdr:colOff>
      <xdr:row>13</xdr:row>
      <xdr:rowOff>36284</xdr:rowOff>
    </xdr:from>
    <xdr:to>
      <xdr:col>3</xdr:col>
      <xdr:colOff>214653</xdr:colOff>
      <xdr:row>13</xdr:row>
      <xdr:rowOff>890873</xdr:rowOff>
    </xdr:to>
    <xdr:pic>
      <xdr:nvPicPr>
        <xdr:cNvPr id="48" name="Image 8">
          <a:extLst>
            <a:ext uri="{FF2B5EF4-FFF2-40B4-BE49-F238E27FC236}">
              <a16:creationId xmlns:a16="http://schemas.microsoft.com/office/drawing/2014/main" id="{1AA62317-047D-4293-B920-169C47E75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2389" y="8551332"/>
          <a:ext cx="787121" cy="854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78621</xdr:colOff>
      <xdr:row>17</xdr:row>
      <xdr:rowOff>54430</xdr:rowOff>
    </xdr:from>
    <xdr:to>
      <xdr:col>2</xdr:col>
      <xdr:colOff>720565</xdr:colOff>
      <xdr:row>18</xdr:row>
      <xdr:rowOff>4531</xdr:rowOff>
    </xdr:to>
    <xdr:pic>
      <xdr:nvPicPr>
        <xdr:cNvPr id="49" name="Image 3">
          <a:extLst>
            <a:ext uri="{FF2B5EF4-FFF2-40B4-BE49-F238E27FC236}">
              <a16:creationId xmlns:a16="http://schemas.microsoft.com/office/drawing/2014/main" id="{2A6D0B38-11A2-460E-A2BC-E00EBA552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5192" y="12319001"/>
          <a:ext cx="641944" cy="8451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80918</xdr:colOff>
      <xdr:row>15</xdr:row>
      <xdr:rowOff>84667</xdr:rowOff>
    </xdr:from>
    <xdr:to>
      <xdr:col>2</xdr:col>
      <xdr:colOff>459619</xdr:colOff>
      <xdr:row>15</xdr:row>
      <xdr:rowOff>906725</xdr:rowOff>
    </xdr:to>
    <xdr:pic>
      <xdr:nvPicPr>
        <xdr:cNvPr id="50" name="Image 9">
          <a:extLst>
            <a:ext uri="{FF2B5EF4-FFF2-40B4-BE49-F238E27FC236}">
              <a16:creationId xmlns:a16="http://schemas.microsoft.com/office/drawing/2014/main" id="{D97F6B27-4C3B-499C-8D1B-E5638E331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7489" y="10438191"/>
          <a:ext cx="378701" cy="8220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35351</xdr:colOff>
      <xdr:row>18</xdr:row>
      <xdr:rowOff>372756</xdr:rowOff>
    </xdr:from>
    <xdr:to>
      <xdr:col>3</xdr:col>
      <xdr:colOff>60479</xdr:colOff>
      <xdr:row>18</xdr:row>
      <xdr:rowOff>934435</xdr:rowOff>
    </xdr:to>
    <xdr:pic>
      <xdr:nvPicPr>
        <xdr:cNvPr id="51" name="Image 5">
          <a:extLst>
            <a:ext uri="{FF2B5EF4-FFF2-40B4-BE49-F238E27FC236}">
              <a16:creationId xmlns:a16="http://schemas.microsoft.com/office/drawing/2014/main" id="{13A8694C-0080-4CD9-B4A3-649F292474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762789" y="13401508"/>
          <a:ext cx="561679" cy="8234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22014</xdr:colOff>
      <xdr:row>16</xdr:row>
      <xdr:rowOff>159718</xdr:rowOff>
    </xdr:from>
    <xdr:to>
      <xdr:col>2</xdr:col>
      <xdr:colOff>650103</xdr:colOff>
      <xdr:row>16</xdr:row>
      <xdr:rowOff>764715</xdr:rowOff>
    </xdr:to>
    <xdr:pic>
      <xdr:nvPicPr>
        <xdr:cNvPr id="52" name="Image 5">
          <a:extLst>
            <a:ext uri="{FF2B5EF4-FFF2-40B4-BE49-F238E27FC236}">
              <a16:creationId xmlns:a16="http://schemas.microsoft.com/office/drawing/2014/main" id="{EF9E896E-4EC7-4EA0-8CAF-E72564DD7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8585" y="11468766"/>
          <a:ext cx="628089" cy="6049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647165</xdr:colOff>
      <xdr:row>19</xdr:row>
      <xdr:rowOff>241904</xdr:rowOff>
    </xdr:from>
    <xdr:to>
      <xdr:col>2</xdr:col>
      <xdr:colOff>585686</xdr:colOff>
      <xdr:row>19</xdr:row>
      <xdr:rowOff>740227</xdr:rowOff>
    </xdr:to>
    <xdr:pic>
      <xdr:nvPicPr>
        <xdr:cNvPr id="53" name="Image 5">
          <a:extLst>
            <a:ext uri="{FF2B5EF4-FFF2-40B4-BE49-F238E27FC236}">
              <a16:creationId xmlns:a16="http://schemas.microsoft.com/office/drawing/2014/main" id="{92E198D3-36AF-4B97-8F81-91E5121DE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5451" y="14344952"/>
          <a:ext cx="736806" cy="4983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43541</xdr:colOff>
      <xdr:row>20</xdr:row>
      <xdr:rowOff>217714</xdr:rowOff>
    </xdr:from>
    <xdr:to>
      <xdr:col>3</xdr:col>
      <xdr:colOff>284396</xdr:colOff>
      <xdr:row>20</xdr:row>
      <xdr:rowOff>788670</xdr:rowOff>
    </xdr:to>
    <xdr:pic>
      <xdr:nvPicPr>
        <xdr:cNvPr id="54" name="Image 3">
          <a:extLst>
            <a:ext uri="{FF2B5EF4-FFF2-40B4-BE49-F238E27FC236}">
              <a16:creationId xmlns:a16="http://schemas.microsoft.com/office/drawing/2014/main" id="{37CA896E-8A89-4C94-956F-D4123D44C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0112" y="15252095"/>
          <a:ext cx="1039141" cy="5709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15</xdr:row>
      <xdr:rowOff>0</xdr:rowOff>
    </xdr:from>
    <xdr:to>
      <xdr:col>6</xdr:col>
      <xdr:colOff>76200</xdr:colOff>
      <xdr:row>15</xdr:row>
      <xdr:rowOff>76200</xdr:rowOff>
    </xdr:to>
    <xdr:sp macro="" textlink="">
      <xdr:nvSpPr>
        <xdr:cNvPr id="56" name="Oval 6">
          <a:extLst>
            <a:ext uri="{FF2B5EF4-FFF2-40B4-BE49-F238E27FC236}">
              <a16:creationId xmlns:a16="http://schemas.microsoft.com/office/drawing/2014/main" id="{AD02C4C2-53CD-4AED-B59E-DD882F3EE7C2}"/>
            </a:ext>
          </a:extLst>
        </xdr:cNvPr>
        <xdr:cNvSpPr>
          <a:spLocks noChangeArrowheads="1"/>
        </xdr:cNvSpPr>
      </xdr:nvSpPr>
      <xdr:spPr bwMode="auto">
        <a:xfrm>
          <a:off x="29245560" y="11117580"/>
          <a:ext cx="76200" cy="76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784860</xdr:colOff>
          <xdr:row>3</xdr:row>
          <xdr:rowOff>289560</xdr:rowOff>
        </xdr:from>
        <xdr:to>
          <xdr:col>11</xdr:col>
          <xdr:colOff>784860</xdr:colOff>
          <xdr:row>5</xdr:row>
          <xdr:rowOff>320040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ptos Narrow"/>
                </a:rPr>
                <a:t>Vérifier la compatibilité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86D9CC96-85EB-4E34-A9C6-96F28B6D6EFC}" userId="S::280564@365kit.co::7bf0fd9b-931a-4217-87b4-46ff1ebca1f3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6" dT="2026-06-19T12:57:52.64" personId="{86D9CC96-85EB-4E34-A9C6-96F28B6D6EFC}" id="{12685EFC-AE8C-43B2-A042-4A4C22F65373}">
    <text>2 ou 3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C4246-3513-44B9-908F-F7868085CE2A}">
  <sheetPr codeName="Feuil1"/>
  <dimension ref="B1:X85"/>
  <sheetViews>
    <sheetView topLeftCell="B2" zoomScale="63" zoomScaleNormal="63" workbookViewId="0">
      <selection activeCell="Q2" sqref="Q1:Q1048576"/>
    </sheetView>
  </sheetViews>
  <sheetFormatPr baseColWidth="10" defaultRowHeight="15.6" x14ac:dyDescent="0.3"/>
  <cols>
    <col min="4" max="4" width="55.5546875" customWidth="1"/>
    <col min="5" max="5" width="40.44140625" customWidth="1"/>
    <col min="6" max="6" width="16.33203125" customWidth="1"/>
    <col min="7" max="7" width="24.109375" customWidth="1"/>
    <col min="8" max="8" width="20.5546875" customWidth="1"/>
    <col min="11" max="11" width="15.44140625" customWidth="1"/>
    <col min="12" max="12" width="15.5546875" customWidth="1"/>
    <col min="13" max="13" width="16.109375" customWidth="1"/>
    <col min="14" max="14" width="20.5546875" style="136" customWidth="1"/>
    <col min="15" max="15" width="17.88671875" style="136" customWidth="1"/>
    <col min="16" max="16" width="12.77734375" bestFit="1" customWidth="1"/>
    <col min="18" max="18" width="15.21875" customWidth="1"/>
    <col min="21" max="21" width="22.77734375" customWidth="1"/>
    <col min="22" max="22" width="16.44140625" customWidth="1"/>
    <col min="23" max="23" width="13.6640625" customWidth="1"/>
    <col min="24" max="24" width="18.33203125" customWidth="1"/>
  </cols>
  <sheetData>
    <row r="1" spans="2:24" ht="45" thickBot="1" x14ac:dyDescent="0.35">
      <c r="N1" s="134"/>
      <c r="O1" s="134"/>
    </row>
    <row r="3" spans="2:24" ht="16.2" thickBot="1" x14ac:dyDescent="0.35"/>
    <row r="4" spans="2:24" ht="22.8" customHeight="1" x14ac:dyDescent="0.35">
      <c r="B4" s="185" t="s">
        <v>143</v>
      </c>
      <c r="C4" s="189" t="s">
        <v>0</v>
      </c>
      <c r="D4" s="189"/>
      <c r="E4" s="194" t="s">
        <v>5</v>
      </c>
      <c r="F4" s="195" t="s">
        <v>6</v>
      </c>
      <c r="G4" s="195"/>
      <c r="H4" s="195"/>
      <c r="I4" s="196" t="s">
        <v>12</v>
      </c>
      <c r="J4" s="196"/>
      <c r="K4" s="197" t="s">
        <v>13</v>
      </c>
      <c r="L4" s="199" t="s">
        <v>15</v>
      </c>
      <c r="M4" s="199" t="s">
        <v>18</v>
      </c>
      <c r="N4" s="206" t="s">
        <v>36</v>
      </c>
      <c r="O4" s="206"/>
      <c r="P4" s="201" t="s">
        <v>19</v>
      </c>
      <c r="Q4" s="201"/>
      <c r="R4" s="201"/>
      <c r="S4" s="202" t="s">
        <v>101</v>
      </c>
      <c r="T4" s="202" t="s">
        <v>102</v>
      </c>
      <c r="U4" s="204" t="s">
        <v>23</v>
      </c>
      <c r="V4" s="204"/>
      <c r="W4" s="204"/>
      <c r="X4" s="192" t="s">
        <v>25</v>
      </c>
    </row>
    <row r="5" spans="2:24" ht="68.400000000000006" x14ac:dyDescent="0.3">
      <c r="B5" s="186"/>
      <c r="C5" s="190"/>
      <c r="D5" s="190"/>
      <c r="E5" s="190"/>
      <c r="F5" s="169" t="s">
        <v>111</v>
      </c>
      <c r="G5" s="169" t="s">
        <v>110</v>
      </c>
      <c r="H5" s="169" t="s">
        <v>109</v>
      </c>
      <c r="I5" s="142" t="s">
        <v>7</v>
      </c>
      <c r="J5" s="142" t="s">
        <v>8</v>
      </c>
      <c r="K5" s="198"/>
      <c r="L5" s="200"/>
      <c r="M5" s="200"/>
      <c r="N5" s="143" t="s">
        <v>127</v>
      </c>
      <c r="O5" s="143" t="s">
        <v>128</v>
      </c>
      <c r="P5" s="158" t="s">
        <v>99</v>
      </c>
      <c r="Q5" s="158" t="s">
        <v>20</v>
      </c>
      <c r="R5" s="158" t="s">
        <v>100</v>
      </c>
      <c r="S5" s="203"/>
      <c r="T5" s="203"/>
      <c r="U5" s="6" t="s">
        <v>103</v>
      </c>
      <c r="V5" s="6" t="s">
        <v>104</v>
      </c>
      <c r="W5" s="6" t="s">
        <v>24</v>
      </c>
      <c r="X5" s="193"/>
    </row>
    <row r="6" spans="2:24" ht="28.2" x14ac:dyDescent="0.3">
      <c r="B6" s="205" t="s">
        <v>129</v>
      </c>
      <c r="C6" s="191" t="s">
        <v>1</v>
      </c>
      <c r="D6" s="191"/>
      <c r="E6" s="175">
        <v>812</v>
      </c>
      <c r="F6" s="170">
        <v>1060</v>
      </c>
      <c r="G6" s="170">
        <v>870</v>
      </c>
      <c r="H6" s="170">
        <v>880</v>
      </c>
      <c r="I6" s="3" t="s">
        <v>10</v>
      </c>
      <c r="J6" s="2" t="s">
        <v>9</v>
      </c>
      <c r="K6" s="151">
        <v>1</v>
      </c>
      <c r="L6" s="144" t="s">
        <v>16</v>
      </c>
      <c r="M6" s="144">
        <v>127</v>
      </c>
      <c r="N6" s="153">
        <v>0</v>
      </c>
      <c r="O6" s="153">
        <v>1</v>
      </c>
      <c r="P6" s="159">
        <v>5</v>
      </c>
      <c r="Q6" s="159" t="s">
        <v>21</v>
      </c>
      <c r="R6" s="159"/>
      <c r="S6" s="166">
        <v>2</v>
      </c>
      <c r="T6" s="167">
        <v>2</v>
      </c>
      <c r="U6" s="5">
        <v>1</v>
      </c>
      <c r="V6" s="5">
        <v>1</v>
      </c>
      <c r="W6" s="5">
        <v>0</v>
      </c>
      <c r="X6" s="181">
        <v>350</v>
      </c>
    </row>
    <row r="7" spans="2:24" ht="28.2" x14ac:dyDescent="0.3">
      <c r="B7" s="205"/>
      <c r="C7" s="191" t="s">
        <v>2</v>
      </c>
      <c r="D7" s="191"/>
      <c r="E7" s="175">
        <v>792</v>
      </c>
      <c r="F7" s="171">
        <v>1490</v>
      </c>
      <c r="G7" s="171">
        <v>1300</v>
      </c>
      <c r="H7" s="171">
        <v>1123</v>
      </c>
      <c r="I7" s="2" t="s">
        <v>9</v>
      </c>
      <c r="J7" s="3" t="s">
        <v>10</v>
      </c>
      <c r="K7" s="151">
        <v>1</v>
      </c>
      <c r="L7" s="144" t="s">
        <v>16</v>
      </c>
      <c r="M7" s="144">
        <v>127</v>
      </c>
      <c r="N7" s="153">
        <v>1</v>
      </c>
      <c r="O7" s="153"/>
      <c r="P7" s="159">
        <v>5</v>
      </c>
      <c r="Q7" s="159" t="s">
        <v>21</v>
      </c>
      <c r="R7" s="159"/>
      <c r="S7" s="166">
        <v>1</v>
      </c>
      <c r="T7" s="167" t="s">
        <v>22</v>
      </c>
      <c r="U7" s="5">
        <v>1</v>
      </c>
      <c r="V7" s="5">
        <v>1</v>
      </c>
      <c r="W7" s="5">
        <v>0</v>
      </c>
      <c r="X7" s="181">
        <v>350</v>
      </c>
    </row>
    <row r="8" spans="2:24" ht="64.2" customHeight="1" x14ac:dyDescent="0.3">
      <c r="B8" s="205"/>
      <c r="C8" s="191" t="s">
        <v>3</v>
      </c>
      <c r="D8" s="191"/>
      <c r="E8" s="175">
        <v>826</v>
      </c>
      <c r="F8" s="170">
        <v>1385</v>
      </c>
      <c r="G8" s="170">
        <v>1310</v>
      </c>
      <c r="H8" s="170">
        <v>1298</v>
      </c>
      <c r="I8" s="3" t="s">
        <v>10</v>
      </c>
      <c r="J8" s="4" t="s">
        <v>11</v>
      </c>
      <c r="K8" s="151" t="s">
        <v>14</v>
      </c>
      <c r="L8" s="144" t="s">
        <v>16</v>
      </c>
      <c r="M8" s="145">
        <v>127</v>
      </c>
      <c r="N8" s="153">
        <v>0</v>
      </c>
      <c r="O8" s="153">
        <v>1</v>
      </c>
      <c r="P8" s="159">
        <v>12</v>
      </c>
      <c r="Q8" s="159" t="s">
        <v>21</v>
      </c>
      <c r="R8" s="159">
        <v>1</v>
      </c>
      <c r="S8" s="166">
        <v>3</v>
      </c>
      <c r="T8" s="166">
        <v>3</v>
      </c>
      <c r="U8" s="5">
        <v>1</v>
      </c>
      <c r="V8" s="5">
        <v>1</v>
      </c>
      <c r="W8" s="5">
        <v>0</v>
      </c>
      <c r="X8" s="181">
        <v>800</v>
      </c>
    </row>
    <row r="9" spans="2:24" ht="28.2" x14ac:dyDescent="0.3">
      <c r="B9" s="205"/>
      <c r="C9" s="191" t="s">
        <v>4</v>
      </c>
      <c r="D9" s="191"/>
      <c r="E9" s="175">
        <v>829</v>
      </c>
      <c r="F9" s="172">
        <v>1382</v>
      </c>
      <c r="G9" s="172">
        <v>1310</v>
      </c>
      <c r="H9" s="172">
        <v>1015</v>
      </c>
      <c r="I9" s="2" t="s">
        <v>9</v>
      </c>
      <c r="J9" s="3" t="s">
        <v>10</v>
      </c>
      <c r="K9" s="151">
        <v>1</v>
      </c>
      <c r="L9" s="144" t="s">
        <v>17</v>
      </c>
      <c r="M9" s="141">
        <v>127</v>
      </c>
      <c r="N9" s="146">
        <v>3</v>
      </c>
      <c r="O9" s="146">
        <v>0</v>
      </c>
      <c r="P9" s="158">
        <v>3</v>
      </c>
      <c r="Q9" s="159" t="s">
        <v>21</v>
      </c>
      <c r="R9" s="158"/>
      <c r="S9" s="166">
        <v>1</v>
      </c>
      <c r="T9" s="168" t="s">
        <v>22</v>
      </c>
      <c r="U9" s="6">
        <v>1</v>
      </c>
      <c r="V9" s="6">
        <v>1</v>
      </c>
      <c r="W9" s="6">
        <v>0</v>
      </c>
      <c r="X9" s="181">
        <v>350</v>
      </c>
    </row>
    <row r="10" spans="2:24" ht="106.2" customHeight="1" x14ac:dyDescent="0.3">
      <c r="B10" s="207" t="s">
        <v>130</v>
      </c>
      <c r="C10" s="188" t="s">
        <v>131</v>
      </c>
      <c r="D10" s="188"/>
      <c r="E10" s="176">
        <v>978</v>
      </c>
      <c r="F10" s="171">
        <v>1291</v>
      </c>
      <c r="G10" s="171">
        <v>2540</v>
      </c>
      <c r="H10" s="171">
        <v>1482</v>
      </c>
      <c r="I10" s="3" t="s">
        <v>10</v>
      </c>
      <c r="J10" s="4" t="s">
        <v>11</v>
      </c>
      <c r="K10" s="151">
        <v>1</v>
      </c>
      <c r="L10" s="137" t="s">
        <v>16</v>
      </c>
      <c r="M10" s="147">
        <v>127</v>
      </c>
      <c r="N10" s="153">
        <v>0</v>
      </c>
      <c r="O10" s="153">
        <v>2</v>
      </c>
      <c r="P10" s="148">
        <v>85</v>
      </c>
      <c r="Q10" s="159" t="s">
        <v>21</v>
      </c>
      <c r="R10" s="158"/>
      <c r="S10" s="166">
        <v>21</v>
      </c>
      <c r="T10" s="166">
        <v>21</v>
      </c>
      <c r="U10" s="149">
        <v>2</v>
      </c>
      <c r="V10" s="149">
        <v>2</v>
      </c>
      <c r="W10" s="149">
        <v>0</v>
      </c>
      <c r="X10" s="181">
        <v>1500</v>
      </c>
    </row>
    <row r="11" spans="2:24" ht="88.2" customHeight="1" x14ac:dyDescent="0.3">
      <c r="B11" s="207"/>
      <c r="C11" s="188" t="s">
        <v>138</v>
      </c>
      <c r="D11" s="188"/>
      <c r="E11" s="177">
        <v>977</v>
      </c>
      <c r="F11" s="173">
        <v>2340</v>
      </c>
      <c r="G11" s="173">
        <v>1570</v>
      </c>
      <c r="H11" s="173">
        <v>1658</v>
      </c>
      <c r="I11" s="4" t="s">
        <v>11</v>
      </c>
      <c r="J11" s="3" t="s">
        <v>10</v>
      </c>
      <c r="K11" s="150">
        <v>1</v>
      </c>
      <c r="L11" s="137" t="s">
        <v>16</v>
      </c>
      <c r="M11" s="144">
        <v>127</v>
      </c>
      <c r="N11" s="154">
        <v>3</v>
      </c>
      <c r="O11" s="155">
        <v>1</v>
      </c>
      <c r="P11" s="157">
        <v>57</v>
      </c>
      <c r="Q11" s="159" t="s">
        <v>21</v>
      </c>
      <c r="R11" s="160"/>
      <c r="S11" s="162">
        <v>11</v>
      </c>
      <c r="T11" s="163">
        <v>11</v>
      </c>
      <c r="U11" s="131">
        <v>2</v>
      </c>
      <c r="V11" s="132">
        <v>2</v>
      </c>
      <c r="W11" s="180" t="s">
        <v>149</v>
      </c>
      <c r="X11" s="182">
        <v>1300</v>
      </c>
    </row>
    <row r="12" spans="2:24" ht="78" customHeight="1" x14ac:dyDescent="0.3">
      <c r="B12" s="207"/>
      <c r="C12" s="188" t="s">
        <v>142</v>
      </c>
      <c r="D12" s="188"/>
      <c r="E12" s="177">
        <v>979</v>
      </c>
      <c r="F12" s="173">
        <v>1131</v>
      </c>
      <c r="G12" s="173">
        <v>2290</v>
      </c>
      <c r="H12" s="173">
        <v>1564</v>
      </c>
      <c r="I12" s="3" t="s">
        <v>10</v>
      </c>
      <c r="J12" s="4" t="s">
        <v>11</v>
      </c>
      <c r="K12" s="150">
        <v>1</v>
      </c>
      <c r="L12" s="137" t="s">
        <v>144</v>
      </c>
      <c r="M12" s="144">
        <v>127</v>
      </c>
      <c r="N12" s="154">
        <v>0</v>
      </c>
      <c r="O12" s="155">
        <v>2</v>
      </c>
      <c r="P12" s="157">
        <v>48</v>
      </c>
      <c r="Q12" s="159" t="s">
        <v>21</v>
      </c>
      <c r="R12" s="160"/>
      <c r="S12" s="164">
        <v>17</v>
      </c>
      <c r="T12" s="164">
        <v>17</v>
      </c>
      <c r="U12" s="131"/>
      <c r="V12" s="132"/>
      <c r="W12" s="133">
        <v>0</v>
      </c>
      <c r="X12" s="182">
        <v>1350</v>
      </c>
    </row>
    <row r="13" spans="2:24" ht="80.400000000000006" customHeight="1" x14ac:dyDescent="0.3">
      <c r="B13" s="207"/>
      <c r="C13" s="188" t="s">
        <v>132</v>
      </c>
      <c r="D13" s="188"/>
      <c r="E13" s="177">
        <v>984</v>
      </c>
      <c r="F13" s="173">
        <v>1550</v>
      </c>
      <c r="G13" s="173">
        <v>1140</v>
      </c>
      <c r="H13" s="173">
        <v>1035</v>
      </c>
      <c r="I13" s="4" t="s">
        <v>11</v>
      </c>
      <c r="J13" s="3" t="s">
        <v>10</v>
      </c>
      <c r="K13" s="150">
        <v>1</v>
      </c>
      <c r="L13" s="137" t="s">
        <v>145</v>
      </c>
      <c r="M13" s="145">
        <v>127</v>
      </c>
      <c r="N13" s="154">
        <v>2</v>
      </c>
      <c r="O13" s="155">
        <v>0</v>
      </c>
      <c r="P13" s="157">
        <v>22</v>
      </c>
      <c r="Q13" s="159" t="s">
        <v>21</v>
      </c>
      <c r="R13" s="160"/>
      <c r="S13" s="162">
        <v>5</v>
      </c>
      <c r="T13" s="163">
        <v>5</v>
      </c>
      <c r="U13" s="131"/>
      <c r="V13" s="132"/>
      <c r="W13" s="133">
        <v>0</v>
      </c>
      <c r="X13" s="182">
        <v>495</v>
      </c>
    </row>
    <row r="14" spans="2:24" ht="71.400000000000006" customHeight="1" x14ac:dyDescent="0.3">
      <c r="B14" s="207"/>
      <c r="C14" s="188" t="s">
        <v>141</v>
      </c>
      <c r="D14" s="188"/>
      <c r="E14" s="177">
        <v>985</v>
      </c>
      <c r="F14" s="173">
        <v>1319</v>
      </c>
      <c r="G14" s="173">
        <v>1310</v>
      </c>
      <c r="H14" s="173">
        <v>941</v>
      </c>
      <c r="I14" s="3" t="s">
        <v>10</v>
      </c>
      <c r="J14" s="4" t="s">
        <v>11</v>
      </c>
      <c r="K14" s="150" t="s">
        <v>14</v>
      </c>
      <c r="L14" s="152" t="s">
        <v>146</v>
      </c>
      <c r="M14" s="141">
        <v>127</v>
      </c>
      <c r="N14" s="154">
        <v>0</v>
      </c>
      <c r="O14" s="155">
        <v>1</v>
      </c>
      <c r="P14" s="157"/>
      <c r="Q14" s="159" t="s">
        <v>21</v>
      </c>
      <c r="R14" s="160"/>
      <c r="S14" s="162">
        <v>4</v>
      </c>
      <c r="T14" s="163">
        <v>4</v>
      </c>
      <c r="U14" s="131"/>
      <c r="V14" s="132"/>
      <c r="W14" s="133">
        <v>0</v>
      </c>
      <c r="X14" s="182">
        <v>851</v>
      </c>
    </row>
    <row r="15" spans="2:24" ht="73.8" customHeight="1" x14ac:dyDescent="0.3">
      <c r="B15" s="207"/>
      <c r="C15" s="188" t="s">
        <v>140</v>
      </c>
      <c r="D15" s="188"/>
      <c r="E15" s="177">
        <v>986</v>
      </c>
      <c r="F15" s="173">
        <v>1300</v>
      </c>
      <c r="G15" s="173">
        <v>1370</v>
      </c>
      <c r="H15" s="173">
        <v>1018</v>
      </c>
      <c r="I15" s="3" t="s">
        <v>10</v>
      </c>
      <c r="J15" s="4" t="s">
        <v>11</v>
      </c>
      <c r="K15" s="150" t="s">
        <v>14</v>
      </c>
      <c r="L15" s="137" t="s">
        <v>147</v>
      </c>
      <c r="M15" s="147">
        <v>127</v>
      </c>
      <c r="N15" s="154">
        <v>0</v>
      </c>
      <c r="O15" s="155">
        <v>1</v>
      </c>
      <c r="P15" s="157">
        <v>12</v>
      </c>
      <c r="Q15" s="159" t="s">
        <v>21</v>
      </c>
      <c r="R15" s="160"/>
      <c r="S15" s="162">
        <v>4</v>
      </c>
      <c r="T15" s="163">
        <v>4</v>
      </c>
      <c r="U15" s="131"/>
      <c r="V15" s="132"/>
      <c r="W15" s="133">
        <v>0</v>
      </c>
      <c r="X15" s="182">
        <v>740</v>
      </c>
    </row>
    <row r="16" spans="2:24" ht="75" customHeight="1" x14ac:dyDescent="0.3">
      <c r="B16" s="207"/>
      <c r="C16" s="188" t="s">
        <v>139</v>
      </c>
      <c r="D16" s="188"/>
      <c r="E16" s="177">
        <v>987</v>
      </c>
      <c r="F16" s="173">
        <v>1980</v>
      </c>
      <c r="G16" s="173">
        <v>1370</v>
      </c>
      <c r="H16" s="173">
        <v>1325</v>
      </c>
      <c r="I16" s="3" t="s">
        <v>10</v>
      </c>
      <c r="J16" s="4" t="s">
        <v>11</v>
      </c>
      <c r="K16" s="150">
        <v>1</v>
      </c>
      <c r="L16" s="152" t="s">
        <v>146</v>
      </c>
      <c r="M16" s="144">
        <v>127</v>
      </c>
      <c r="N16" s="154">
        <v>0</v>
      </c>
      <c r="O16" s="156">
        <v>3</v>
      </c>
      <c r="P16" s="157">
        <v>11</v>
      </c>
      <c r="Q16" s="159" t="s">
        <v>21</v>
      </c>
      <c r="R16" s="160"/>
      <c r="S16" s="162">
        <v>4</v>
      </c>
      <c r="T16" s="163">
        <v>4</v>
      </c>
      <c r="U16" s="131"/>
      <c r="V16" s="132"/>
      <c r="W16" s="133">
        <v>0</v>
      </c>
      <c r="X16" s="182">
        <v>392</v>
      </c>
    </row>
    <row r="17" spans="2:24" ht="75.599999999999994" customHeight="1" x14ac:dyDescent="0.3">
      <c r="B17" s="207"/>
      <c r="C17" s="188" t="s">
        <v>133</v>
      </c>
      <c r="D17" s="188"/>
      <c r="E17" s="177">
        <v>981</v>
      </c>
      <c r="F17" s="173">
        <v>1068</v>
      </c>
      <c r="G17" s="173">
        <v>1410</v>
      </c>
      <c r="H17" s="173">
        <v>998</v>
      </c>
      <c r="I17" s="3" t="s">
        <v>10</v>
      </c>
      <c r="J17" s="4" t="s">
        <v>11</v>
      </c>
      <c r="K17" s="150">
        <v>1</v>
      </c>
      <c r="L17" s="152" t="s">
        <v>148</v>
      </c>
      <c r="M17" s="144">
        <v>127</v>
      </c>
      <c r="N17" s="154">
        <v>0</v>
      </c>
      <c r="O17" s="155">
        <v>1</v>
      </c>
      <c r="P17" s="157">
        <v>2</v>
      </c>
      <c r="Q17" s="159" t="s">
        <v>21</v>
      </c>
      <c r="R17" s="160"/>
      <c r="S17" s="162">
        <v>1</v>
      </c>
      <c r="T17" s="164"/>
      <c r="U17" s="131"/>
      <c r="V17" s="132"/>
      <c r="W17" s="133">
        <v>0</v>
      </c>
      <c r="X17" s="182">
        <v>294</v>
      </c>
    </row>
    <row r="18" spans="2:24" ht="70.2" customHeight="1" x14ac:dyDescent="0.3">
      <c r="B18" s="207"/>
      <c r="C18" s="188" t="s">
        <v>134</v>
      </c>
      <c r="D18" s="188"/>
      <c r="E18" s="178">
        <v>983</v>
      </c>
      <c r="F18" s="173">
        <v>1155</v>
      </c>
      <c r="G18" s="173">
        <v>1320</v>
      </c>
      <c r="H18" s="173">
        <v>1332.5</v>
      </c>
      <c r="I18" s="3" t="s">
        <v>10</v>
      </c>
      <c r="J18" s="4" t="s">
        <v>11</v>
      </c>
      <c r="K18" s="150">
        <v>1</v>
      </c>
      <c r="L18" s="137" t="s">
        <v>16</v>
      </c>
      <c r="M18" s="145">
        <v>127</v>
      </c>
      <c r="N18" s="154">
        <v>0</v>
      </c>
      <c r="O18" s="156">
        <v>1</v>
      </c>
      <c r="P18" s="157">
        <v>6</v>
      </c>
      <c r="Q18" s="159" t="s">
        <v>21</v>
      </c>
      <c r="R18" s="160"/>
      <c r="S18" s="165">
        <v>2</v>
      </c>
      <c r="T18" s="165">
        <v>2</v>
      </c>
      <c r="U18" s="131"/>
      <c r="V18" s="132"/>
      <c r="W18" s="180">
        <v>0</v>
      </c>
      <c r="X18" s="182">
        <v>230</v>
      </c>
    </row>
    <row r="19" spans="2:24" ht="74.400000000000006" customHeight="1" x14ac:dyDescent="0.3">
      <c r="B19" s="207"/>
      <c r="C19" s="188" t="s">
        <v>135</v>
      </c>
      <c r="D19" s="188"/>
      <c r="E19" s="178">
        <v>980</v>
      </c>
      <c r="F19" s="170">
        <v>1523</v>
      </c>
      <c r="G19" s="170">
        <v>1314</v>
      </c>
      <c r="H19" s="170">
        <v>995</v>
      </c>
      <c r="I19" s="3" t="s">
        <v>10</v>
      </c>
      <c r="J19" s="4" t="s">
        <v>11</v>
      </c>
      <c r="K19" s="150" t="s">
        <v>14</v>
      </c>
      <c r="L19" s="152" t="s">
        <v>148</v>
      </c>
      <c r="M19" s="141">
        <v>127</v>
      </c>
      <c r="N19" s="154">
        <v>0</v>
      </c>
      <c r="O19" s="155">
        <v>1</v>
      </c>
      <c r="P19" s="157">
        <v>15</v>
      </c>
      <c r="Q19" s="159" t="s">
        <v>21</v>
      </c>
      <c r="R19" s="160"/>
      <c r="S19" s="162">
        <v>5</v>
      </c>
      <c r="T19" s="162">
        <v>5</v>
      </c>
      <c r="U19" s="131"/>
      <c r="V19" s="132"/>
      <c r="W19" s="133">
        <v>0</v>
      </c>
      <c r="X19" s="182">
        <v>329</v>
      </c>
    </row>
    <row r="20" spans="2:24" ht="73.2" customHeight="1" x14ac:dyDescent="0.3">
      <c r="B20" s="207"/>
      <c r="C20" s="188" t="s">
        <v>136</v>
      </c>
      <c r="D20" s="188"/>
      <c r="E20" s="178">
        <v>982</v>
      </c>
      <c r="F20" s="173">
        <v>1368</v>
      </c>
      <c r="G20" s="173">
        <v>1320</v>
      </c>
      <c r="H20" s="173">
        <v>1095</v>
      </c>
      <c r="I20" s="3" t="s">
        <v>10</v>
      </c>
      <c r="J20" s="4" t="s">
        <v>11</v>
      </c>
      <c r="K20" s="150">
        <v>1</v>
      </c>
      <c r="L20" s="137" t="s">
        <v>16</v>
      </c>
      <c r="M20" s="147">
        <v>127</v>
      </c>
      <c r="N20" s="154">
        <v>1</v>
      </c>
      <c r="O20" s="155">
        <v>3</v>
      </c>
      <c r="P20" s="157">
        <v>5</v>
      </c>
      <c r="Q20" s="159" t="s">
        <v>21</v>
      </c>
      <c r="R20" s="160"/>
      <c r="S20" s="165">
        <v>1</v>
      </c>
      <c r="T20" s="164">
        <v>1</v>
      </c>
      <c r="U20" s="131"/>
      <c r="V20" s="132"/>
      <c r="W20" s="133">
        <v>0</v>
      </c>
      <c r="X20" s="182">
        <v>335</v>
      </c>
    </row>
    <row r="21" spans="2:24" ht="74.400000000000006" customHeight="1" thickBot="1" x14ac:dyDescent="0.35">
      <c r="B21" s="208"/>
      <c r="C21" s="187" t="s">
        <v>137</v>
      </c>
      <c r="D21" s="187"/>
      <c r="E21" s="179">
        <v>988</v>
      </c>
      <c r="F21" s="174">
        <v>1315</v>
      </c>
      <c r="G21" s="173">
        <v>960</v>
      </c>
      <c r="H21" s="173">
        <v>1070</v>
      </c>
      <c r="I21" s="4" t="s">
        <v>11</v>
      </c>
      <c r="J21" s="3" t="s">
        <v>10</v>
      </c>
      <c r="K21" s="150">
        <v>1</v>
      </c>
      <c r="L21" s="137" t="s">
        <v>17</v>
      </c>
      <c r="M21" s="147">
        <v>127</v>
      </c>
      <c r="N21" s="154">
        <v>2</v>
      </c>
      <c r="O21" s="155">
        <v>0</v>
      </c>
      <c r="P21" s="157">
        <v>24</v>
      </c>
      <c r="Q21" s="159" t="s">
        <v>21</v>
      </c>
      <c r="R21" s="161"/>
      <c r="S21" s="165">
        <v>5</v>
      </c>
      <c r="T21" s="164">
        <v>5</v>
      </c>
      <c r="U21" s="131"/>
      <c r="V21" s="132"/>
      <c r="W21" s="133"/>
      <c r="X21" s="182">
        <v>600</v>
      </c>
    </row>
    <row r="22" spans="2:24" ht="21" customHeight="1" x14ac:dyDescent="0.35">
      <c r="N22" s="135"/>
      <c r="O22" s="135"/>
    </row>
    <row r="23" spans="2:24" ht="21" customHeight="1" x14ac:dyDescent="0.35">
      <c r="N23" s="135"/>
      <c r="O23" s="135"/>
    </row>
    <row r="24" spans="2:24" ht="21" customHeight="1" x14ac:dyDescent="0.35">
      <c r="N24" s="135"/>
      <c r="O24" s="135"/>
    </row>
    <row r="25" spans="2:24" ht="21" customHeight="1" x14ac:dyDescent="0.35">
      <c r="N25" s="135"/>
      <c r="O25" s="135"/>
    </row>
    <row r="26" spans="2:24" ht="21" customHeight="1" x14ac:dyDescent="0.35">
      <c r="N26" s="135"/>
      <c r="O26" s="135"/>
    </row>
    <row r="27" spans="2:24" ht="18" x14ac:dyDescent="0.35">
      <c r="N27" s="135"/>
      <c r="O27" s="135"/>
    </row>
    <row r="28" spans="2:24" ht="18" x14ac:dyDescent="0.35">
      <c r="N28" s="135"/>
      <c r="O28" s="135"/>
    </row>
    <row r="29" spans="2:24" ht="18" x14ac:dyDescent="0.35">
      <c r="N29" s="135"/>
      <c r="O29" s="135"/>
    </row>
    <row r="30" spans="2:24" ht="18" x14ac:dyDescent="0.35">
      <c r="N30" s="135"/>
      <c r="O30" s="135"/>
    </row>
    <row r="31" spans="2:24" ht="18" x14ac:dyDescent="0.35">
      <c r="N31" s="135"/>
      <c r="O31" s="135"/>
    </row>
    <row r="32" spans="2:24" ht="18" x14ac:dyDescent="0.35">
      <c r="N32" s="135"/>
      <c r="O32" s="135"/>
    </row>
    <row r="33" spans="14:15" ht="18" x14ac:dyDescent="0.35">
      <c r="N33" s="135"/>
      <c r="O33" s="135"/>
    </row>
    <row r="34" spans="14:15" ht="18" x14ac:dyDescent="0.35">
      <c r="N34" s="135"/>
      <c r="O34" s="135"/>
    </row>
    <row r="35" spans="14:15" ht="18" x14ac:dyDescent="0.35">
      <c r="N35" s="135"/>
      <c r="O35" s="135"/>
    </row>
    <row r="36" spans="14:15" ht="18" x14ac:dyDescent="0.35">
      <c r="N36" s="135"/>
      <c r="O36" s="135"/>
    </row>
    <row r="37" spans="14:15" ht="18" x14ac:dyDescent="0.35">
      <c r="N37" s="135"/>
      <c r="O37" s="135"/>
    </row>
    <row r="38" spans="14:15" ht="18" x14ac:dyDescent="0.35">
      <c r="N38" s="135"/>
      <c r="O38" s="135"/>
    </row>
    <row r="39" spans="14:15" ht="18" x14ac:dyDescent="0.35">
      <c r="N39" s="135"/>
      <c r="O39" s="135"/>
    </row>
    <row r="40" spans="14:15" ht="18" x14ac:dyDescent="0.35">
      <c r="N40" s="135"/>
      <c r="O40" s="135"/>
    </row>
    <row r="41" spans="14:15" ht="18" x14ac:dyDescent="0.35">
      <c r="N41" s="135"/>
      <c r="O41" s="135"/>
    </row>
    <row r="42" spans="14:15" ht="18" x14ac:dyDescent="0.35">
      <c r="N42" s="135"/>
      <c r="O42" s="135"/>
    </row>
    <row r="43" spans="14:15" ht="18" x14ac:dyDescent="0.35">
      <c r="N43" s="135"/>
      <c r="O43" s="135"/>
    </row>
    <row r="44" spans="14:15" ht="18" x14ac:dyDescent="0.35">
      <c r="N44" s="135"/>
      <c r="O44" s="135"/>
    </row>
    <row r="45" spans="14:15" ht="18" x14ac:dyDescent="0.35">
      <c r="N45" s="135"/>
      <c r="O45" s="135"/>
    </row>
    <row r="46" spans="14:15" ht="18" x14ac:dyDescent="0.35">
      <c r="N46" s="135"/>
      <c r="O46" s="135"/>
    </row>
    <row r="47" spans="14:15" ht="18" x14ac:dyDescent="0.35">
      <c r="N47" s="135"/>
      <c r="O47" s="135"/>
    </row>
    <row r="48" spans="14:15" ht="18" x14ac:dyDescent="0.35">
      <c r="N48" s="135"/>
      <c r="O48" s="135"/>
    </row>
    <row r="49" spans="14:15" ht="18" x14ac:dyDescent="0.35">
      <c r="N49" s="135"/>
      <c r="O49" s="135"/>
    </row>
    <row r="50" spans="14:15" ht="18" x14ac:dyDescent="0.35">
      <c r="N50" s="135"/>
      <c r="O50" s="135"/>
    </row>
    <row r="51" spans="14:15" ht="18" x14ac:dyDescent="0.35">
      <c r="N51" s="135"/>
      <c r="O51" s="135"/>
    </row>
    <row r="52" spans="14:15" ht="18" x14ac:dyDescent="0.35">
      <c r="N52" s="135"/>
      <c r="O52" s="135"/>
    </row>
    <row r="53" spans="14:15" ht="18" x14ac:dyDescent="0.35">
      <c r="N53" s="135"/>
      <c r="O53" s="135"/>
    </row>
    <row r="54" spans="14:15" ht="18" x14ac:dyDescent="0.35">
      <c r="N54" s="135"/>
      <c r="O54" s="135"/>
    </row>
    <row r="55" spans="14:15" ht="18" x14ac:dyDescent="0.35">
      <c r="N55" s="135"/>
      <c r="O55" s="135"/>
    </row>
    <row r="56" spans="14:15" ht="18" x14ac:dyDescent="0.35">
      <c r="N56" s="135"/>
      <c r="O56" s="135"/>
    </row>
    <row r="57" spans="14:15" ht="18" x14ac:dyDescent="0.35">
      <c r="N57" s="135"/>
      <c r="O57" s="135"/>
    </row>
    <row r="58" spans="14:15" ht="18" x14ac:dyDescent="0.35">
      <c r="N58" s="135"/>
      <c r="O58" s="135"/>
    </row>
    <row r="59" spans="14:15" ht="18" x14ac:dyDescent="0.35">
      <c r="N59" s="135"/>
      <c r="O59" s="135"/>
    </row>
    <row r="60" spans="14:15" ht="18" x14ac:dyDescent="0.35">
      <c r="N60" s="135"/>
      <c r="O60" s="135"/>
    </row>
    <row r="61" spans="14:15" ht="18" x14ac:dyDescent="0.35">
      <c r="N61" s="135"/>
      <c r="O61" s="135"/>
    </row>
    <row r="62" spans="14:15" ht="18" x14ac:dyDescent="0.35">
      <c r="N62" s="135"/>
      <c r="O62" s="135"/>
    </row>
    <row r="63" spans="14:15" ht="18" x14ac:dyDescent="0.35">
      <c r="N63" s="135"/>
      <c r="O63" s="135"/>
    </row>
    <row r="64" spans="14:15" ht="18" x14ac:dyDescent="0.35">
      <c r="N64" s="135"/>
      <c r="O64" s="135"/>
    </row>
    <row r="65" spans="14:15" ht="18" x14ac:dyDescent="0.35">
      <c r="N65" s="135"/>
      <c r="O65" s="135"/>
    </row>
    <row r="66" spans="14:15" ht="18" x14ac:dyDescent="0.35">
      <c r="N66" s="135"/>
      <c r="O66" s="135"/>
    </row>
    <row r="67" spans="14:15" ht="18" x14ac:dyDescent="0.35">
      <c r="N67" s="135"/>
      <c r="O67" s="135"/>
    </row>
    <row r="68" spans="14:15" ht="18" x14ac:dyDescent="0.35">
      <c r="N68" s="135"/>
      <c r="O68" s="135"/>
    </row>
    <row r="69" spans="14:15" ht="18" x14ac:dyDescent="0.35">
      <c r="N69" s="135"/>
      <c r="O69" s="135"/>
    </row>
    <row r="70" spans="14:15" ht="18" x14ac:dyDescent="0.35">
      <c r="N70" s="135"/>
      <c r="O70" s="135"/>
    </row>
    <row r="71" spans="14:15" ht="18" x14ac:dyDescent="0.35">
      <c r="N71" s="135"/>
      <c r="O71" s="135"/>
    </row>
    <row r="72" spans="14:15" ht="18" x14ac:dyDescent="0.35">
      <c r="N72" s="135"/>
      <c r="O72" s="135"/>
    </row>
    <row r="73" spans="14:15" ht="18" x14ac:dyDescent="0.35">
      <c r="N73" s="135"/>
      <c r="O73" s="135"/>
    </row>
    <row r="74" spans="14:15" ht="18" x14ac:dyDescent="0.35">
      <c r="N74" s="135"/>
      <c r="O74" s="135"/>
    </row>
    <row r="75" spans="14:15" ht="18" x14ac:dyDescent="0.35">
      <c r="N75" s="135"/>
      <c r="O75" s="135"/>
    </row>
    <row r="76" spans="14:15" ht="18" x14ac:dyDescent="0.35">
      <c r="N76" s="135"/>
      <c r="O76" s="135"/>
    </row>
    <row r="77" spans="14:15" ht="18" x14ac:dyDescent="0.35">
      <c r="N77" s="135"/>
      <c r="O77" s="135"/>
    </row>
    <row r="78" spans="14:15" ht="18" x14ac:dyDescent="0.35">
      <c r="N78" s="135"/>
      <c r="O78" s="135"/>
    </row>
    <row r="79" spans="14:15" ht="18" x14ac:dyDescent="0.35">
      <c r="N79" s="135"/>
      <c r="O79" s="135"/>
    </row>
    <row r="80" spans="14:15" ht="18" x14ac:dyDescent="0.35">
      <c r="N80" s="135"/>
      <c r="O80" s="135"/>
    </row>
    <row r="81" spans="14:15" ht="18" x14ac:dyDescent="0.35">
      <c r="N81" s="135"/>
      <c r="O81" s="135"/>
    </row>
    <row r="82" spans="14:15" ht="18" x14ac:dyDescent="0.35">
      <c r="N82" s="135"/>
      <c r="O82" s="135"/>
    </row>
    <row r="83" spans="14:15" ht="18" x14ac:dyDescent="0.35">
      <c r="N83" s="135"/>
      <c r="O83" s="135"/>
    </row>
    <row r="84" spans="14:15" ht="18" x14ac:dyDescent="0.35">
      <c r="N84" s="135"/>
      <c r="O84" s="135"/>
    </row>
    <row r="85" spans="14:15" ht="18" x14ac:dyDescent="0.35">
      <c r="N85" s="135"/>
      <c r="O85" s="135"/>
    </row>
  </sheetData>
  <protectedRanges>
    <protectedRange sqref="T6 S6:S10 T10" name="Plage2_4_1_4_3_1_1"/>
    <protectedRange sqref="X6:X10" name="Plage2_11_1_4_3_1"/>
    <protectedRange sqref="P10" name="Plage2_5_1_4_3_1"/>
    <protectedRange sqref="P11:P21" name="Plage2_5_1_4_3_1_1"/>
    <protectedRange sqref="T16 S12:S13 T12 T18 S16:S21" name="Plage2_4_1_4_3_2_1"/>
    <protectedRange sqref="X11:X21" name="Plage2_11_1_4_3_1_2"/>
  </protectedRanges>
  <mergeCells count="32">
    <mergeCell ref="B6:B9"/>
    <mergeCell ref="N4:O4"/>
    <mergeCell ref="C18:D18"/>
    <mergeCell ref="B10:B21"/>
    <mergeCell ref="C20:D20"/>
    <mergeCell ref="X4:X5"/>
    <mergeCell ref="E4:E5"/>
    <mergeCell ref="F4:H4"/>
    <mergeCell ref="I4:J4"/>
    <mergeCell ref="K4:K5"/>
    <mergeCell ref="L4:L5"/>
    <mergeCell ref="M4:M5"/>
    <mergeCell ref="P4:R4"/>
    <mergeCell ref="S4:S5"/>
    <mergeCell ref="T4:T5"/>
    <mergeCell ref="U4:W4"/>
    <mergeCell ref="B4:B5"/>
    <mergeCell ref="C21:D21"/>
    <mergeCell ref="C10:D10"/>
    <mergeCell ref="C4:D5"/>
    <mergeCell ref="C9:D9"/>
    <mergeCell ref="C8:D8"/>
    <mergeCell ref="C7:D7"/>
    <mergeCell ref="C6:D6"/>
    <mergeCell ref="C11:D11"/>
    <mergeCell ref="C12:D12"/>
    <mergeCell ref="C13:D13"/>
    <mergeCell ref="C14:D14"/>
    <mergeCell ref="C15:D15"/>
    <mergeCell ref="C16:D16"/>
    <mergeCell ref="C17:D17"/>
    <mergeCell ref="C19:D19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745D-0218-46F1-8CAE-546F72A4A052}">
  <sheetPr codeName="Feuil2"/>
  <dimension ref="A1:X42"/>
  <sheetViews>
    <sheetView tabSelected="1" zoomScale="66" zoomScaleNormal="66" workbookViewId="0">
      <selection activeCell="H5" sqref="H5"/>
    </sheetView>
  </sheetViews>
  <sheetFormatPr baseColWidth="10" defaultRowHeight="15.6" x14ac:dyDescent="0.3"/>
  <cols>
    <col min="1" max="1" width="1.77734375" style="106" customWidth="1"/>
    <col min="2" max="2" width="11.6640625" customWidth="1"/>
    <col min="3" max="3" width="14.21875" customWidth="1"/>
    <col min="4" max="4" width="12.109375" customWidth="1"/>
    <col min="5" max="5" width="7.77734375" customWidth="1"/>
    <col min="6" max="6" width="12" customWidth="1"/>
    <col min="7" max="7" width="7.33203125" style="120" customWidth="1"/>
    <col min="8" max="8" width="12.109375" style="1" customWidth="1"/>
    <col min="9" max="9" width="14.77734375" customWidth="1"/>
    <col min="10" max="10" width="15.88671875" customWidth="1"/>
    <col min="11" max="11" width="14.5546875" customWidth="1"/>
    <col min="12" max="12" width="13.6640625" customWidth="1"/>
    <col min="13" max="13" width="11.5546875" customWidth="1"/>
    <col min="14" max="14" width="11.44140625" customWidth="1"/>
    <col min="15" max="15" width="7.77734375" customWidth="1"/>
    <col min="16" max="16" width="10.44140625" customWidth="1"/>
    <col min="17" max="17" width="8" customWidth="1"/>
    <col min="18" max="18" width="6.77734375" customWidth="1"/>
    <col min="19" max="19" width="8.6640625" customWidth="1"/>
    <col min="20" max="20" width="9.109375" customWidth="1"/>
    <col min="21" max="21" width="12.77734375" customWidth="1"/>
    <col min="22" max="22" width="14.21875" customWidth="1"/>
    <col min="23" max="23" width="21.88671875" customWidth="1"/>
    <col min="24" max="24" width="15.21875" customWidth="1"/>
    <col min="218" max="218" width="2.21875" customWidth="1"/>
    <col min="219" max="219" width="1.77734375" customWidth="1"/>
    <col min="220" max="220" width="9.77734375" customWidth="1"/>
    <col min="221" max="221" width="14.21875" customWidth="1"/>
    <col min="222" max="222" width="6.21875" customWidth="1"/>
    <col min="223" max="223" width="7.77734375" customWidth="1"/>
    <col min="224" max="224" width="7.21875" customWidth="1"/>
    <col min="225" max="225" width="3.5546875" customWidth="1"/>
    <col min="226" max="227" width="7.44140625" customWidth="1"/>
    <col min="228" max="228" width="6.21875" customWidth="1"/>
    <col min="229" max="229" width="9.77734375" customWidth="1"/>
    <col min="230" max="230" width="5.21875" customWidth="1"/>
    <col min="231" max="231" width="5.44140625" customWidth="1"/>
    <col min="232" max="232" width="5.21875" customWidth="1"/>
    <col min="233" max="233" width="5.77734375" customWidth="1"/>
    <col min="234" max="234" width="5.21875" customWidth="1"/>
    <col min="235" max="235" width="5.5546875" customWidth="1"/>
    <col min="236" max="236" width="6.77734375" customWidth="1"/>
    <col min="237" max="237" width="6.21875" customWidth="1"/>
    <col min="238" max="238" width="0.77734375" customWidth="1"/>
    <col min="239" max="239" width="4.5546875" customWidth="1"/>
    <col min="240" max="240" width="6.21875" customWidth="1"/>
    <col min="241" max="241" width="0.77734375" customWidth="1"/>
    <col min="242" max="242" width="3.5546875" customWidth="1"/>
    <col min="243" max="243" width="3" customWidth="1"/>
    <col min="244" max="244" width="6.5546875" customWidth="1"/>
    <col min="245" max="245" width="1" customWidth="1"/>
    <col min="246" max="246" width="6.77734375" customWidth="1"/>
    <col min="247" max="247" width="8.44140625" customWidth="1"/>
    <col min="248" max="248" width="9.44140625" bestFit="1" customWidth="1"/>
    <col min="249" max="249" width="0.77734375" customWidth="1"/>
    <col min="250" max="250" width="5.5546875" customWidth="1"/>
    <col min="251" max="251" width="6" customWidth="1"/>
    <col min="252" max="252" width="0.77734375" customWidth="1"/>
    <col min="253" max="253" width="3.5546875" customWidth="1"/>
    <col min="254" max="254" width="3.21875" customWidth="1"/>
    <col min="255" max="257" width="3" customWidth="1"/>
    <col min="258" max="258" width="7" customWidth="1"/>
    <col min="259" max="259" width="0.77734375" customWidth="1"/>
    <col min="260" max="260" width="5.44140625" customWidth="1"/>
    <col min="261" max="261" width="6.21875" customWidth="1"/>
    <col min="262" max="262" width="5" customWidth="1"/>
    <col min="263" max="266" width="0" hidden="1" customWidth="1"/>
    <col min="267" max="267" width="4.21875" customWidth="1"/>
    <col min="268" max="268" width="1" customWidth="1"/>
    <col min="269" max="269" width="2.77734375" customWidth="1"/>
    <col min="270" max="274" width="3" customWidth="1"/>
    <col min="275" max="275" width="3.44140625" customWidth="1"/>
    <col min="276" max="276" width="6.21875" customWidth="1"/>
    <col min="277" max="277" width="5.44140625" customWidth="1"/>
    <col min="278" max="278" width="5.21875" customWidth="1"/>
    <col min="279" max="279" width="41.77734375" customWidth="1"/>
    <col min="280" max="280" width="35" bestFit="1" customWidth="1"/>
    <col min="474" max="474" width="2.21875" customWidth="1"/>
    <col min="475" max="475" width="1.77734375" customWidth="1"/>
    <col min="476" max="476" width="9.77734375" customWidth="1"/>
    <col min="477" max="477" width="14.21875" customWidth="1"/>
    <col min="478" max="478" width="6.21875" customWidth="1"/>
    <col min="479" max="479" width="7.77734375" customWidth="1"/>
    <col min="480" max="480" width="7.21875" customWidth="1"/>
    <col min="481" max="481" width="3.5546875" customWidth="1"/>
    <col min="482" max="483" width="7.44140625" customWidth="1"/>
    <col min="484" max="484" width="6.21875" customWidth="1"/>
    <col min="485" max="485" width="9.77734375" customWidth="1"/>
    <col min="486" max="486" width="5.21875" customWidth="1"/>
    <col min="487" max="487" width="5.44140625" customWidth="1"/>
    <col min="488" max="488" width="5.21875" customWidth="1"/>
    <col min="489" max="489" width="5.77734375" customWidth="1"/>
    <col min="490" max="490" width="5.21875" customWidth="1"/>
    <col min="491" max="491" width="5.5546875" customWidth="1"/>
    <col min="492" max="492" width="6.77734375" customWidth="1"/>
    <col min="493" max="493" width="6.21875" customWidth="1"/>
    <col min="494" max="494" width="0.77734375" customWidth="1"/>
    <col min="495" max="495" width="4.5546875" customWidth="1"/>
    <col min="496" max="496" width="6.21875" customWidth="1"/>
    <col min="497" max="497" width="0.77734375" customWidth="1"/>
    <col min="498" max="498" width="3.5546875" customWidth="1"/>
    <col min="499" max="499" width="3" customWidth="1"/>
    <col min="500" max="500" width="6.5546875" customWidth="1"/>
    <col min="501" max="501" width="1" customWidth="1"/>
    <col min="502" max="502" width="6.77734375" customWidth="1"/>
    <col min="503" max="503" width="8.44140625" customWidth="1"/>
    <col min="504" max="504" width="9.44140625" bestFit="1" customWidth="1"/>
    <col min="505" max="505" width="0.77734375" customWidth="1"/>
    <col min="506" max="506" width="5.5546875" customWidth="1"/>
    <col min="507" max="507" width="6" customWidth="1"/>
    <col min="508" max="508" width="0.77734375" customWidth="1"/>
    <col min="509" max="509" width="3.5546875" customWidth="1"/>
    <col min="510" max="510" width="3.21875" customWidth="1"/>
    <col min="511" max="513" width="3" customWidth="1"/>
    <col min="514" max="514" width="7" customWidth="1"/>
    <col min="515" max="515" width="0.77734375" customWidth="1"/>
    <col min="516" max="516" width="5.44140625" customWidth="1"/>
    <col min="517" max="517" width="6.21875" customWidth="1"/>
    <col min="518" max="518" width="5" customWidth="1"/>
    <col min="519" max="522" width="0" hidden="1" customWidth="1"/>
    <col min="523" max="523" width="4.21875" customWidth="1"/>
    <col min="524" max="524" width="1" customWidth="1"/>
    <col min="525" max="525" width="2.77734375" customWidth="1"/>
    <col min="526" max="530" width="3" customWidth="1"/>
    <col min="531" max="531" width="3.44140625" customWidth="1"/>
    <col min="532" max="532" width="6.21875" customWidth="1"/>
    <col min="533" max="533" width="5.44140625" customWidth="1"/>
    <col min="534" max="534" width="5.21875" customWidth="1"/>
    <col min="535" max="535" width="41.77734375" customWidth="1"/>
    <col min="536" max="536" width="35" bestFit="1" customWidth="1"/>
    <col min="730" max="730" width="2.21875" customWidth="1"/>
    <col min="731" max="731" width="1.77734375" customWidth="1"/>
    <col min="732" max="732" width="9.77734375" customWidth="1"/>
    <col min="733" max="733" width="14.21875" customWidth="1"/>
    <col min="734" max="734" width="6.21875" customWidth="1"/>
    <col min="735" max="735" width="7.77734375" customWidth="1"/>
    <col min="736" max="736" width="7.21875" customWidth="1"/>
    <col min="737" max="737" width="3.5546875" customWidth="1"/>
    <col min="738" max="739" width="7.44140625" customWidth="1"/>
    <col min="740" max="740" width="6.21875" customWidth="1"/>
    <col min="741" max="741" width="9.77734375" customWidth="1"/>
    <col min="742" max="742" width="5.21875" customWidth="1"/>
    <col min="743" max="743" width="5.44140625" customWidth="1"/>
    <col min="744" max="744" width="5.21875" customWidth="1"/>
    <col min="745" max="745" width="5.77734375" customWidth="1"/>
    <col min="746" max="746" width="5.21875" customWidth="1"/>
    <col min="747" max="747" width="5.5546875" customWidth="1"/>
    <col min="748" max="748" width="6.77734375" customWidth="1"/>
    <col min="749" max="749" width="6.21875" customWidth="1"/>
    <col min="750" max="750" width="0.77734375" customWidth="1"/>
    <col min="751" max="751" width="4.5546875" customWidth="1"/>
    <col min="752" max="752" width="6.21875" customWidth="1"/>
    <col min="753" max="753" width="0.77734375" customWidth="1"/>
    <col min="754" max="754" width="3.5546875" customWidth="1"/>
    <col min="755" max="755" width="3" customWidth="1"/>
    <col min="756" max="756" width="6.5546875" customWidth="1"/>
    <col min="757" max="757" width="1" customWidth="1"/>
    <col min="758" max="758" width="6.77734375" customWidth="1"/>
    <col min="759" max="759" width="8.44140625" customWidth="1"/>
    <col min="760" max="760" width="9.44140625" bestFit="1" customWidth="1"/>
    <col min="761" max="761" width="0.77734375" customWidth="1"/>
    <col min="762" max="762" width="5.5546875" customWidth="1"/>
    <col min="763" max="763" width="6" customWidth="1"/>
    <col min="764" max="764" width="0.77734375" customWidth="1"/>
    <col min="765" max="765" width="3.5546875" customWidth="1"/>
    <col min="766" max="766" width="3.21875" customWidth="1"/>
    <col min="767" max="769" width="3" customWidth="1"/>
    <col min="770" max="770" width="7" customWidth="1"/>
    <col min="771" max="771" width="0.77734375" customWidth="1"/>
    <col min="772" max="772" width="5.44140625" customWidth="1"/>
    <col min="773" max="773" width="6.21875" customWidth="1"/>
    <col min="774" max="774" width="5" customWidth="1"/>
    <col min="775" max="778" width="0" hidden="1" customWidth="1"/>
    <col min="779" max="779" width="4.21875" customWidth="1"/>
    <col min="780" max="780" width="1" customWidth="1"/>
    <col min="781" max="781" width="2.77734375" customWidth="1"/>
    <col min="782" max="786" width="3" customWidth="1"/>
    <col min="787" max="787" width="3.44140625" customWidth="1"/>
    <col min="788" max="788" width="6.21875" customWidth="1"/>
    <col min="789" max="789" width="5.44140625" customWidth="1"/>
    <col min="790" max="790" width="5.21875" customWidth="1"/>
    <col min="791" max="791" width="41.77734375" customWidth="1"/>
    <col min="792" max="792" width="35" bestFit="1" customWidth="1"/>
    <col min="986" max="986" width="2.21875" customWidth="1"/>
    <col min="987" max="987" width="1.77734375" customWidth="1"/>
    <col min="988" max="988" width="9.77734375" customWidth="1"/>
    <col min="989" max="989" width="14.21875" customWidth="1"/>
    <col min="990" max="990" width="6.21875" customWidth="1"/>
    <col min="991" max="991" width="7.77734375" customWidth="1"/>
    <col min="992" max="992" width="7.21875" customWidth="1"/>
    <col min="993" max="993" width="3.5546875" customWidth="1"/>
    <col min="994" max="995" width="7.44140625" customWidth="1"/>
    <col min="996" max="996" width="6.21875" customWidth="1"/>
    <col min="997" max="997" width="9.77734375" customWidth="1"/>
    <col min="998" max="998" width="5.21875" customWidth="1"/>
    <col min="999" max="999" width="5.44140625" customWidth="1"/>
    <col min="1000" max="1000" width="5.21875" customWidth="1"/>
    <col min="1001" max="1001" width="5.77734375" customWidth="1"/>
    <col min="1002" max="1002" width="5.21875" customWidth="1"/>
    <col min="1003" max="1003" width="5.5546875" customWidth="1"/>
    <col min="1004" max="1004" width="6.77734375" customWidth="1"/>
    <col min="1005" max="1005" width="6.21875" customWidth="1"/>
    <col min="1006" max="1006" width="0.77734375" customWidth="1"/>
    <col min="1007" max="1007" width="4.5546875" customWidth="1"/>
    <col min="1008" max="1008" width="6.21875" customWidth="1"/>
    <col min="1009" max="1009" width="0.77734375" customWidth="1"/>
    <col min="1010" max="1010" width="3.5546875" customWidth="1"/>
    <col min="1011" max="1011" width="3" customWidth="1"/>
    <col min="1012" max="1012" width="6.5546875" customWidth="1"/>
    <col min="1013" max="1013" width="1" customWidth="1"/>
    <col min="1014" max="1014" width="6.77734375" customWidth="1"/>
    <col min="1015" max="1015" width="8.44140625" customWidth="1"/>
    <col min="1016" max="1016" width="9.44140625" bestFit="1" customWidth="1"/>
    <col min="1017" max="1017" width="0.77734375" customWidth="1"/>
    <col min="1018" max="1018" width="5.5546875" customWidth="1"/>
    <col min="1019" max="1019" width="6" customWidth="1"/>
    <col min="1020" max="1020" width="0.77734375" customWidth="1"/>
    <col min="1021" max="1021" width="3.5546875" customWidth="1"/>
    <col min="1022" max="1022" width="3.21875" customWidth="1"/>
    <col min="1023" max="1025" width="3" customWidth="1"/>
    <col min="1026" max="1026" width="7" customWidth="1"/>
    <col min="1027" max="1027" width="0.77734375" customWidth="1"/>
    <col min="1028" max="1028" width="5.44140625" customWidth="1"/>
    <col min="1029" max="1029" width="6.21875" customWidth="1"/>
    <col min="1030" max="1030" width="5" customWidth="1"/>
    <col min="1031" max="1034" width="0" hidden="1" customWidth="1"/>
    <col min="1035" max="1035" width="4.21875" customWidth="1"/>
    <col min="1036" max="1036" width="1" customWidth="1"/>
    <col min="1037" max="1037" width="2.77734375" customWidth="1"/>
    <col min="1038" max="1042" width="3" customWidth="1"/>
    <col min="1043" max="1043" width="3.44140625" customWidth="1"/>
    <col min="1044" max="1044" width="6.21875" customWidth="1"/>
    <col min="1045" max="1045" width="5.44140625" customWidth="1"/>
    <col min="1046" max="1046" width="5.21875" customWidth="1"/>
    <col min="1047" max="1047" width="41.77734375" customWidth="1"/>
    <col min="1048" max="1048" width="35" bestFit="1" customWidth="1"/>
    <col min="1242" max="1242" width="2.21875" customWidth="1"/>
    <col min="1243" max="1243" width="1.77734375" customWidth="1"/>
    <col min="1244" max="1244" width="9.77734375" customWidth="1"/>
    <col min="1245" max="1245" width="14.21875" customWidth="1"/>
    <col min="1246" max="1246" width="6.21875" customWidth="1"/>
    <col min="1247" max="1247" width="7.77734375" customWidth="1"/>
    <col min="1248" max="1248" width="7.21875" customWidth="1"/>
    <col min="1249" max="1249" width="3.5546875" customWidth="1"/>
    <col min="1250" max="1251" width="7.44140625" customWidth="1"/>
    <col min="1252" max="1252" width="6.21875" customWidth="1"/>
    <col min="1253" max="1253" width="9.77734375" customWidth="1"/>
    <col min="1254" max="1254" width="5.21875" customWidth="1"/>
    <col min="1255" max="1255" width="5.44140625" customWidth="1"/>
    <col min="1256" max="1256" width="5.21875" customWidth="1"/>
    <col min="1257" max="1257" width="5.77734375" customWidth="1"/>
    <col min="1258" max="1258" width="5.21875" customWidth="1"/>
    <col min="1259" max="1259" width="5.5546875" customWidth="1"/>
    <col min="1260" max="1260" width="6.77734375" customWidth="1"/>
    <col min="1261" max="1261" width="6.21875" customWidth="1"/>
    <col min="1262" max="1262" width="0.77734375" customWidth="1"/>
    <col min="1263" max="1263" width="4.5546875" customWidth="1"/>
    <col min="1264" max="1264" width="6.21875" customWidth="1"/>
    <col min="1265" max="1265" width="0.77734375" customWidth="1"/>
    <col min="1266" max="1266" width="3.5546875" customWidth="1"/>
    <col min="1267" max="1267" width="3" customWidth="1"/>
    <col min="1268" max="1268" width="6.5546875" customWidth="1"/>
    <col min="1269" max="1269" width="1" customWidth="1"/>
    <col min="1270" max="1270" width="6.77734375" customWidth="1"/>
    <col min="1271" max="1271" width="8.44140625" customWidth="1"/>
    <col min="1272" max="1272" width="9.44140625" bestFit="1" customWidth="1"/>
    <col min="1273" max="1273" width="0.77734375" customWidth="1"/>
    <col min="1274" max="1274" width="5.5546875" customWidth="1"/>
    <col min="1275" max="1275" width="6" customWidth="1"/>
    <col min="1276" max="1276" width="0.77734375" customWidth="1"/>
    <col min="1277" max="1277" width="3.5546875" customWidth="1"/>
    <col min="1278" max="1278" width="3.21875" customWidth="1"/>
    <col min="1279" max="1281" width="3" customWidth="1"/>
    <col min="1282" max="1282" width="7" customWidth="1"/>
    <col min="1283" max="1283" width="0.77734375" customWidth="1"/>
    <col min="1284" max="1284" width="5.44140625" customWidth="1"/>
    <col min="1285" max="1285" width="6.21875" customWidth="1"/>
    <col min="1286" max="1286" width="5" customWidth="1"/>
    <col min="1287" max="1290" width="0" hidden="1" customWidth="1"/>
    <col min="1291" max="1291" width="4.21875" customWidth="1"/>
    <col min="1292" max="1292" width="1" customWidth="1"/>
    <col min="1293" max="1293" width="2.77734375" customWidth="1"/>
    <col min="1294" max="1298" width="3" customWidth="1"/>
    <col min="1299" max="1299" width="3.44140625" customWidth="1"/>
    <col min="1300" max="1300" width="6.21875" customWidth="1"/>
    <col min="1301" max="1301" width="5.44140625" customWidth="1"/>
    <col min="1302" max="1302" width="5.21875" customWidth="1"/>
    <col min="1303" max="1303" width="41.77734375" customWidth="1"/>
    <col min="1304" max="1304" width="35" bestFit="1" customWidth="1"/>
    <col min="1498" max="1498" width="2.21875" customWidth="1"/>
    <col min="1499" max="1499" width="1.77734375" customWidth="1"/>
    <col min="1500" max="1500" width="9.77734375" customWidth="1"/>
    <col min="1501" max="1501" width="14.21875" customWidth="1"/>
    <col min="1502" max="1502" width="6.21875" customWidth="1"/>
    <col min="1503" max="1503" width="7.77734375" customWidth="1"/>
    <col min="1504" max="1504" width="7.21875" customWidth="1"/>
    <col min="1505" max="1505" width="3.5546875" customWidth="1"/>
    <col min="1506" max="1507" width="7.44140625" customWidth="1"/>
    <col min="1508" max="1508" width="6.21875" customWidth="1"/>
    <col min="1509" max="1509" width="9.77734375" customWidth="1"/>
    <col min="1510" max="1510" width="5.21875" customWidth="1"/>
    <col min="1511" max="1511" width="5.44140625" customWidth="1"/>
    <col min="1512" max="1512" width="5.21875" customWidth="1"/>
    <col min="1513" max="1513" width="5.77734375" customWidth="1"/>
    <col min="1514" max="1514" width="5.21875" customWidth="1"/>
    <col min="1515" max="1515" width="5.5546875" customWidth="1"/>
    <col min="1516" max="1516" width="6.77734375" customWidth="1"/>
    <col min="1517" max="1517" width="6.21875" customWidth="1"/>
    <col min="1518" max="1518" width="0.77734375" customWidth="1"/>
    <col min="1519" max="1519" width="4.5546875" customWidth="1"/>
    <col min="1520" max="1520" width="6.21875" customWidth="1"/>
    <col min="1521" max="1521" width="0.77734375" customWidth="1"/>
    <col min="1522" max="1522" width="3.5546875" customWidth="1"/>
    <col min="1523" max="1523" width="3" customWidth="1"/>
    <col min="1524" max="1524" width="6.5546875" customWidth="1"/>
    <col min="1525" max="1525" width="1" customWidth="1"/>
    <col min="1526" max="1526" width="6.77734375" customWidth="1"/>
    <col min="1527" max="1527" width="8.44140625" customWidth="1"/>
    <col min="1528" max="1528" width="9.44140625" bestFit="1" customWidth="1"/>
    <col min="1529" max="1529" width="0.77734375" customWidth="1"/>
    <col min="1530" max="1530" width="5.5546875" customWidth="1"/>
    <col min="1531" max="1531" width="6" customWidth="1"/>
    <col min="1532" max="1532" width="0.77734375" customWidth="1"/>
    <col min="1533" max="1533" width="3.5546875" customWidth="1"/>
    <col min="1534" max="1534" width="3.21875" customWidth="1"/>
    <col min="1535" max="1537" width="3" customWidth="1"/>
    <col min="1538" max="1538" width="7" customWidth="1"/>
    <col min="1539" max="1539" width="0.77734375" customWidth="1"/>
    <col min="1540" max="1540" width="5.44140625" customWidth="1"/>
    <col min="1541" max="1541" width="6.21875" customWidth="1"/>
    <col min="1542" max="1542" width="5" customWidth="1"/>
    <col min="1543" max="1546" width="0" hidden="1" customWidth="1"/>
    <col min="1547" max="1547" width="4.21875" customWidth="1"/>
    <col min="1548" max="1548" width="1" customWidth="1"/>
    <col min="1549" max="1549" width="2.77734375" customWidth="1"/>
    <col min="1550" max="1554" width="3" customWidth="1"/>
    <col min="1555" max="1555" width="3.44140625" customWidth="1"/>
    <col min="1556" max="1556" width="6.21875" customWidth="1"/>
    <col min="1557" max="1557" width="5.44140625" customWidth="1"/>
    <col min="1558" max="1558" width="5.21875" customWidth="1"/>
    <col min="1559" max="1559" width="41.77734375" customWidth="1"/>
    <col min="1560" max="1560" width="35" bestFit="1" customWidth="1"/>
    <col min="1754" max="1754" width="2.21875" customWidth="1"/>
    <col min="1755" max="1755" width="1.77734375" customWidth="1"/>
    <col min="1756" max="1756" width="9.77734375" customWidth="1"/>
    <col min="1757" max="1757" width="14.21875" customWidth="1"/>
    <col min="1758" max="1758" width="6.21875" customWidth="1"/>
    <col min="1759" max="1759" width="7.77734375" customWidth="1"/>
    <col min="1760" max="1760" width="7.21875" customWidth="1"/>
    <col min="1761" max="1761" width="3.5546875" customWidth="1"/>
    <col min="1762" max="1763" width="7.44140625" customWidth="1"/>
    <col min="1764" max="1764" width="6.21875" customWidth="1"/>
    <col min="1765" max="1765" width="9.77734375" customWidth="1"/>
    <col min="1766" max="1766" width="5.21875" customWidth="1"/>
    <col min="1767" max="1767" width="5.44140625" customWidth="1"/>
    <col min="1768" max="1768" width="5.21875" customWidth="1"/>
    <col min="1769" max="1769" width="5.77734375" customWidth="1"/>
    <col min="1770" max="1770" width="5.21875" customWidth="1"/>
    <col min="1771" max="1771" width="5.5546875" customWidth="1"/>
    <col min="1772" max="1772" width="6.77734375" customWidth="1"/>
    <col min="1773" max="1773" width="6.21875" customWidth="1"/>
    <col min="1774" max="1774" width="0.77734375" customWidth="1"/>
    <col min="1775" max="1775" width="4.5546875" customWidth="1"/>
    <col min="1776" max="1776" width="6.21875" customWidth="1"/>
    <col min="1777" max="1777" width="0.77734375" customWidth="1"/>
    <col min="1778" max="1778" width="3.5546875" customWidth="1"/>
    <col min="1779" max="1779" width="3" customWidth="1"/>
    <col min="1780" max="1780" width="6.5546875" customWidth="1"/>
    <col min="1781" max="1781" width="1" customWidth="1"/>
    <col min="1782" max="1782" width="6.77734375" customWidth="1"/>
    <col min="1783" max="1783" width="8.44140625" customWidth="1"/>
    <col min="1784" max="1784" width="9.44140625" bestFit="1" customWidth="1"/>
    <col min="1785" max="1785" width="0.77734375" customWidth="1"/>
    <col min="1786" max="1786" width="5.5546875" customWidth="1"/>
    <col min="1787" max="1787" width="6" customWidth="1"/>
    <col min="1788" max="1788" width="0.77734375" customWidth="1"/>
    <col min="1789" max="1789" width="3.5546875" customWidth="1"/>
    <col min="1790" max="1790" width="3.21875" customWidth="1"/>
    <col min="1791" max="1793" width="3" customWidth="1"/>
    <col min="1794" max="1794" width="7" customWidth="1"/>
    <col min="1795" max="1795" width="0.77734375" customWidth="1"/>
    <col min="1796" max="1796" width="5.44140625" customWidth="1"/>
    <col min="1797" max="1797" width="6.21875" customWidth="1"/>
    <col min="1798" max="1798" width="5" customWidth="1"/>
    <col min="1799" max="1802" width="0" hidden="1" customWidth="1"/>
    <col min="1803" max="1803" width="4.21875" customWidth="1"/>
    <col min="1804" max="1804" width="1" customWidth="1"/>
    <col min="1805" max="1805" width="2.77734375" customWidth="1"/>
    <col min="1806" max="1810" width="3" customWidth="1"/>
    <col min="1811" max="1811" width="3.44140625" customWidth="1"/>
    <col min="1812" max="1812" width="6.21875" customWidth="1"/>
    <col min="1813" max="1813" width="5.44140625" customWidth="1"/>
    <col min="1814" max="1814" width="5.21875" customWidth="1"/>
    <col min="1815" max="1815" width="41.77734375" customWidth="1"/>
    <col min="1816" max="1816" width="35" bestFit="1" customWidth="1"/>
    <col min="2010" max="2010" width="2.21875" customWidth="1"/>
    <col min="2011" max="2011" width="1.77734375" customWidth="1"/>
    <col min="2012" max="2012" width="9.77734375" customWidth="1"/>
    <col min="2013" max="2013" width="14.21875" customWidth="1"/>
    <col min="2014" max="2014" width="6.21875" customWidth="1"/>
    <col min="2015" max="2015" width="7.77734375" customWidth="1"/>
    <col min="2016" max="2016" width="7.21875" customWidth="1"/>
    <col min="2017" max="2017" width="3.5546875" customWidth="1"/>
    <col min="2018" max="2019" width="7.44140625" customWidth="1"/>
    <col min="2020" max="2020" width="6.21875" customWidth="1"/>
    <col min="2021" max="2021" width="9.77734375" customWidth="1"/>
    <col min="2022" max="2022" width="5.21875" customWidth="1"/>
    <col min="2023" max="2023" width="5.44140625" customWidth="1"/>
    <col min="2024" max="2024" width="5.21875" customWidth="1"/>
    <col min="2025" max="2025" width="5.77734375" customWidth="1"/>
    <col min="2026" max="2026" width="5.21875" customWidth="1"/>
    <col min="2027" max="2027" width="5.5546875" customWidth="1"/>
    <col min="2028" max="2028" width="6.77734375" customWidth="1"/>
    <col min="2029" max="2029" width="6.21875" customWidth="1"/>
    <col min="2030" max="2030" width="0.77734375" customWidth="1"/>
    <col min="2031" max="2031" width="4.5546875" customWidth="1"/>
    <col min="2032" max="2032" width="6.21875" customWidth="1"/>
    <col min="2033" max="2033" width="0.77734375" customWidth="1"/>
    <col min="2034" max="2034" width="3.5546875" customWidth="1"/>
    <col min="2035" max="2035" width="3" customWidth="1"/>
    <col min="2036" max="2036" width="6.5546875" customWidth="1"/>
    <col min="2037" max="2037" width="1" customWidth="1"/>
    <col min="2038" max="2038" width="6.77734375" customWidth="1"/>
    <col min="2039" max="2039" width="8.44140625" customWidth="1"/>
    <col min="2040" max="2040" width="9.44140625" bestFit="1" customWidth="1"/>
    <col min="2041" max="2041" width="0.77734375" customWidth="1"/>
    <col min="2042" max="2042" width="5.5546875" customWidth="1"/>
    <col min="2043" max="2043" width="6" customWidth="1"/>
    <col min="2044" max="2044" width="0.77734375" customWidth="1"/>
    <col min="2045" max="2045" width="3.5546875" customWidth="1"/>
    <col min="2046" max="2046" width="3.21875" customWidth="1"/>
    <col min="2047" max="2049" width="3" customWidth="1"/>
    <col min="2050" max="2050" width="7" customWidth="1"/>
    <col min="2051" max="2051" width="0.77734375" customWidth="1"/>
    <col min="2052" max="2052" width="5.44140625" customWidth="1"/>
    <col min="2053" max="2053" width="6.21875" customWidth="1"/>
    <col min="2054" max="2054" width="5" customWidth="1"/>
    <col min="2055" max="2058" width="0" hidden="1" customWidth="1"/>
    <col min="2059" max="2059" width="4.21875" customWidth="1"/>
    <col min="2060" max="2060" width="1" customWidth="1"/>
    <col min="2061" max="2061" width="2.77734375" customWidth="1"/>
    <col min="2062" max="2066" width="3" customWidth="1"/>
    <col min="2067" max="2067" width="3.44140625" customWidth="1"/>
    <col min="2068" max="2068" width="6.21875" customWidth="1"/>
    <col min="2069" max="2069" width="5.44140625" customWidth="1"/>
    <col min="2070" max="2070" width="5.21875" customWidth="1"/>
    <col min="2071" max="2071" width="41.77734375" customWidth="1"/>
    <col min="2072" max="2072" width="35" bestFit="1" customWidth="1"/>
    <col min="2266" max="2266" width="2.21875" customWidth="1"/>
    <col min="2267" max="2267" width="1.77734375" customWidth="1"/>
    <col min="2268" max="2268" width="9.77734375" customWidth="1"/>
    <col min="2269" max="2269" width="14.21875" customWidth="1"/>
    <col min="2270" max="2270" width="6.21875" customWidth="1"/>
    <col min="2271" max="2271" width="7.77734375" customWidth="1"/>
    <col min="2272" max="2272" width="7.21875" customWidth="1"/>
    <col min="2273" max="2273" width="3.5546875" customWidth="1"/>
    <col min="2274" max="2275" width="7.44140625" customWidth="1"/>
    <col min="2276" max="2276" width="6.21875" customWidth="1"/>
    <col min="2277" max="2277" width="9.77734375" customWidth="1"/>
    <col min="2278" max="2278" width="5.21875" customWidth="1"/>
    <col min="2279" max="2279" width="5.44140625" customWidth="1"/>
    <col min="2280" max="2280" width="5.21875" customWidth="1"/>
    <col min="2281" max="2281" width="5.77734375" customWidth="1"/>
    <col min="2282" max="2282" width="5.21875" customWidth="1"/>
    <col min="2283" max="2283" width="5.5546875" customWidth="1"/>
    <col min="2284" max="2284" width="6.77734375" customWidth="1"/>
    <col min="2285" max="2285" width="6.21875" customWidth="1"/>
    <col min="2286" max="2286" width="0.77734375" customWidth="1"/>
    <col min="2287" max="2287" width="4.5546875" customWidth="1"/>
    <col min="2288" max="2288" width="6.21875" customWidth="1"/>
    <col min="2289" max="2289" width="0.77734375" customWidth="1"/>
    <col min="2290" max="2290" width="3.5546875" customWidth="1"/>
    <col min="2291" max="2291" width="3" customWidth="1"/>
    <col min="2292" max="2292" width="6.5546875" customWidth="1"/>
    <col min="2293" max="2293" width="1" customWidth="1"/>
    <col min="2294" max="2294" width="6.77734375" customWidth="1"/>
    <col min="2295" max="2295" width="8.44140625" customWidth="1"/>
    <col min="2296" max="2296" width="9.44140625" bestFit="1" customWidth="1"/>
    <col min="2297" max="2297" width="0.77734375" customWidth="1"/>
    <col min="2298" max="2298" width="5.5546875" customWidth="1"/>
    <col min="2299" max="2299" width="6" customWidth="1"/>
    <col min="2300" max="2300" width="0.77734375" customWidth="1"/>
    <col min="2301" max="2301" width="3.5546875" customWidth="1"/>
    <col min="2302" max="2302" width="3.21875" customWidth="1"/>
    <col min="2303" max="2305" width="3" customWidth="1"/>
    <col min="2306" max="2306" width="7" customWidth="1"/>
    <col min="2307" max="2307" width="0.77734375" customWidth="1"/>
    <col min="2308" max="2308" width="5.44140625" customWidth="1"/>
    <col min="2309" max="2309" width="6.21875" customWidth="1"/>
    <col min="2310" max="2310" width="5" customWidth="1"/>
    <col min="2311" max="2314" width="0" hidden="1" customWidth="1"/>
    <col min="2315" max="2315" width="4.21875" customWidth="1"/>
    <col min="2316" max="2316" width="1" customWidth="1"/>
    <col min="2317" max="2317" width="2.77734375" customWidth="1"/>
    <col min="2318" max="2322" width="3" customWidth="1"/>
    <col min="2323" max="2323" width="3.44140625" customWidth="1"/>
    <col min="2324" max="2324" width="6.21875" customWidth="1"/>
    <col min="2325" max="2325" width="5.44140625" customWidth="1"/>
    <col min="2326" max="2326" width="5.21875" customWidth="1"/>
    <col min="2327" max="2327" width="41.77734375" customWidth="1"/>
    <col min="2328" max="2328" width="35" bestFit="1" customWidth="1"/>
    <col min="2522" max="2522" width="2.21875" customWidth="1"/>
    <col min="2523" max="2523" width="1.77734375" customWidth="1"/>
    <col min="2524" max="2524" width="9.77734375" customWidth="1"/>
    <col min="2525" max="2525" width="14.21875" customWidth="1"/>
    <col min="2526" max="2526" width="6.21875" customWidth="1"/>
    <col min="2527" max="2527" width="7.77734375" customWidth="1"/>
    <col min="2528" max="2528" width="7.21875" customWidth="1"/>
    <col min="2529" max="2529" width="3.5546875" customWidth="1"/>
    <col min="2530" max="2531" width="7.44140625" customWidth="1"/>
    <col min="2532" max="2532" width="6.21875" customWidth="1"/>
    <col min="2533" max="2533" width="9.77734375" customWidth="1"/>
    <col min="2534" max="2534" width="5.21875" customWidth="1"/>
    <col min="2535" max="2535" width="5.44140625" customWidth="1"/>
    <col min="2536" max="2536" width="5.21875" customWidth="1"/>
    <col min="2537" max="2537" width="5.77734375" customWidth="1"/>
    <col min="2538" max="2538" width="5.21875" customWidth="1"/>
    <col min="2539" max="2539" width="5.5546875" customWidth="1"/>
    <col min="2540" max="2540" width="6.77734375" customWidth="1"/>
    <col min="2541" max="2541" width="6.21875" customWidth="1"/>
    <col min="2542" max="2542" width="0.77734375" customWidth="1"/>
    <col min="2543" max="2543" width="4.5546875" customWidth="1"/>
    <col min="2544" max="2544" width="6.21875" customWidth="1"/>
    <col min="2545" max="2545" width="0.77734375" customWidth="1"/>
    <col min="2546" max="2546" width="3.5546875" customWidth="1"/>
    <col min="2547" max="2547" width="3" customWidth="1"/>
    <col min="2548" max="2548" width="6.5546875" customWidth="1"/>
    <col min="2549" max="2549" width="1" customWidth="1"/>
    <col min="2550" max="2550" width="6.77734375" customWidth="1"/>
    <col min="2551" max="2551" width="8.44140625" customWidth="1"/>
    <col min="2552" max="2552" width="9.44140625" bestFit="1" customWidth="1"/>
    <col min="2553" max="2553" width="0.77734375" customWidth="1"/>
    <col min="2554" max="2554" width="5.5546875" customWidth="1"/>
    <col min="2555" max="2555" width="6" customWidth="1"/>
    <col min="2556" max="2556" width="0.77734375" customWidth="1"/>
    <col min="2557" max="2557" width="3.5546875" customWidth="1"/>
    <col min="2558" max="2558" width="3.21875" customWidth="1"/>
    <col min="2559" max="2561" width="3" customWidth="1"/>
    <col min="2562" max="2562" width="7" customWidth="1"/>
    <col min="2563" max="2563" width="0.77734375" customWidth="1"/>
    <col min="2564" max="2564" width="5.44140625" customWidth="1"/>
    <col min="2565" max="2565" width="6.21875" customWidth="1"/>
    <col min="2566" max="2566" width="5" customWidth="1"/>
    <col min="2567" max="2570" width="0" hidden="1" customWidth="1"/>
    <col min="2571" max="2571" width="4.21875" customWidth="1"/>
    <col min="2572" max="2572" width="1" customWidth="1"/>
    <col min="2573" max="2573" width="2.77734375" customWidth="1"/>
    <col min="2574" max="2578" width="3" customWidth="1"/>
    <col min="2579" max="2579" width="3.44140625" customWidth="1"/>
    <col min="2580" max="2580" width="6.21875" customWidth="1"/>
    <col min="2581" max="2581" width="5.44140625" customWidth="1"/>
    <col min="2582" max="2582" width="5.21875" customWidth="1"/>
    <col min="2583" max="2583" width="41.77734375" customWidth="1"/>
    <col min="2584" max="2584" width="35" bestFit="1" customWidth="1"/>
    <col min="2778" max="2778" width="2.21875" customWidth="1"/>
    <col min="2779" max="2779" width="1.77734375" customWidth="1"/>
    <col min="2780" max="2780" width="9.77734375" customWidth="1"/>
    <col min="2781" max="2781" width="14.21875" customWidth="1"/>
    <col min="2782" max="2782" width="6.21875" customWidth="1"/>
    <col min="2783" max="2783" width="7.77734375" customWidth="1"/>
    <col min="2784" max="2784" width="7.21875" customWidth="1"/>
    <col min="2785" max="2785" width="3.5546875" customWidth="1"/>
    <col min="2786" max="2787" width="7.44140625" customWidth="1"/>
    <col min="2788" max="2788" width="6.21875" customWidth="1"/>
    <col min="2789" max="2789" width="9.77734375" customWidth="1"/>
    <col min="2790" max="2790" width="5.21875" customWidth="1"/>
    <col min="2791" max="2791" width="5.44140625" customWidth="1"/>
    <col min="2792" max="2792" width="5.21875" customWidth="1"/>
    <col min="2793" max="2793" width="5.77734375" customWidth="1"/>
    <col min="2794" max="2794" width="5.21875" customWidth="1"/>
    <col min="2795" max="2795" width="5.5546875" customWidth="1"/>
    <col min="2796" max="2796" width="6.77734375" customWidth="1"/>
    <col min="2797" max="2797" width="6.21875" customWidth="1"/>
    <col min="2798" max="2798" width="0.77734375" customWidth="1"/>
    <col min="2799" max="2799" width="4.5546875" customWidth="1"/>
    <col min="2800" max="2800" width="6.21875" customWidth="1"/>
    <col min="2801" max="2801" width="0.77734375" customWidth="1"/>
    <col min="2802" max="2802" width="3.5546875" customWidth="1"/>
    <col min="2803" max="2803" width="3" customWidth="1"/>
    <col min="2804" max="2804" width="6.5546875" customWidth="1"/>
    <col min="2805" max="2805" width="1" customWidth="1"/>
    <col min="2806" max="2806" width="6.77734375" customWidth="1"/>
    <col min="2807" max="2807" width="8.44140625" customWidth="1"/>
    <col min="2808" max="2808" width="9.44140625" bestFit="1" customWidth="1"/>
    <col min="2809" max="2809" width="0.77734375" customWidth="1"/>
    <col min="2810" max="2810" width="5.5546875" customWidth="1"/>
    <col min="2811" max="2811" width="6" customWidth="1"/>
    <col min="2812" max="2812" width="0.77734375" customWidth="1"/>
    <col min="2813" max="2813" width="3.5546875" customWidth="1"/>
    <col min="2814" max="2814" width="3.21875" customWidth="1"/>
    <col min="2815" max="2817" width="3" customWidth="1"/>
    <col min="2818" max="2818" width="7" customWidth="1"/>
    <col min="2819" max="2819" width="0.77734375" customWidth="1"/>
    <col min="2820" max="2820" width="5.44140625" customWidth="1"/>
    <col min="2821" max="2821" width="6.21875" customWidth="1"/>
    <col min="2822" max="2822" width="5" customWidth="1"/>
    <col min="2823" max="2826" width="0" hidden="1" customWidth="1"/>
    <col min="2827" max="2827" width="4.21875" customWidth="1"/>
    <col min="2828" max="2828" width="1" customWidth="1"/>
    <col min="2829" max="2829" width="2.77734375" customWidth="1"/>
    <col min="2830" max="2834" width="3" customWidth="1"/>
    <col min="2835" max="2835" width="3.44140625" customWidth="1"/>
    <col min="2836" max="2836" width="6.21875" customWidth="1"/>
    <col min="2837" max="2837" width="5.44140625" customWidth="1"/>
    <col min="2838" max="2838" width="5.21875" customWidth="1"/>
    <col min="2839" max="2839" width="41.77734375" customWidth="1"/>
    <col min="2840" max="2840" width="35" bestFit="1" customWidth="1"/>
    <col min="3034" max="3034" width="2.21875" customWidth="1"/>
    <col min="3035" max="3035" width="1.77734375" customWidth="1"/>
    <col min="3036" max="3036" width="9.77734375" customWidth="1"/>
    <col min="3037" max="3037" width="14.21875" customWidth="1"/>
    <col min="3038" max="3038" width="6.21875" customWidth="1"/>
    <col min="3039" max="3039" width="7.77734375" customWidth="1"/>
    <col min="3040" max="3040" width="7.21875" customWidth="1"/>
    <col min="3041" max="3041" width="3.5546875" customWidth="1"/>
    <col min="3042" max="3043" width="7.44140625" customWidth="1"/>
    <col min="3044" max="3044" width="6.21875" customWidth="1"/>
    <col min="3045" max="3045" width="9.77734375" customWidth="1"/>
    <col min="3046" max="3046" width="5.21875" customWidth="1"/>
    <col min="3047" max="3047" width="5.44140625" customWidth="1"/>
    <col min="3048" max="3048" width="5.21875" customWidth="1"/>
    <col min="3049" max="3049" width="5.77734375" customWidth="1"/>
    <col min="3050" max="3050" width="5.21875" customWidth="1"/>
    <col min="3051" max="3051" width="5.5546875" customWidth="1"/>
    <col min="3052" max="3052" width="6.77734375" customWidth="1"/>
    <col min="3053" max="3053" width="6.21875" customWidth="1"/>
    <col min="3054" max="3054" width="0.77734375" customWidth="1"/>
    <col min="3055" max="3055" width="4.5546875" customWidth="1"/>
    <col min="3056" max="3056" width="6.21875" customWidth="1"/>
    <col min="3057" max="3057" width="0.77734375" customWidth="1"/>
    <col min="3058" max="3058" width="3.5546875" customWidth="1"/>
    <col min="3059" max="3059" width="3" customWidth="1"/>
    <col min="3060" max="3060" width="6.5546875" customWidth="1"/>
    <col min="3061" max="3061" width="1" customWidth="1"/>
    <col min="3062" max="3062" width="6.77734375" customWidth="1"/>
    <col min="3063" max="3063" width="8.44140625" customWidth="1"/>
    <col min="3064" max="3064" width="9.44140625" bestFit="1" customWidth="1"/>
    <col min="3065" max="3065" width="0.77734375" customWidth="1"/>
    <col min="3066" max="3066" width="5.5546875" customWidth="1"/>
    <col min="3067" max="3067" width="6" customWidth="1"/>
    <col min="3068" max="3068" width="0.77734375" customWidth="1"/>
    <col min="3069" max="3069" width="3.5546875" customWidth="1"/>
    <col min="3070" max="3070" width="3.21875" customWidth="1"/>
    <col min="3071" max="3073" width="3" customWidth="1"/>
    <col min="3074" max="3074" width="7" customWidth="1"/>
    <col min="3075" max="3075" width="0.77734375" customWidth="1"/>
    <col min="3076" max="3076" width="5.44140625" customWidth="1"/>
    <col min="3077" max="3077" width="6.21875" customWidth="1"/>
    <col min="3078" max="3078" width="5" customWidth="1"/>
    <col min="3079" max="3082" width="0" hidden="1" customWidth="1"/>
    <col min="3083" max="3083" width="4.21875" customWidth="1"/>
    <col min="3084" max="3084" width="1" customWidth="1"/>
    <col min="3085" max="3085" width="2.77734375" customWidth="1"/>
    <col min="3086" max="3090" width="3" customWidth="1"/>
    <col min="3091" max="3091" width="3.44140625" customWidth="1"/>
    <col min="3092" max="3092" width="6.21875" customWidth="1"/>
    <col min="3093" max="3093" width="5.44140625" customWidth="1"/>
    <col min="3094" max="3094" width="5.21875" customWidth="1"/>
    <col min="3095" max="3095" width="41.77734375" customWidth="1"/>
    <col min="3096" max="3096" width="35" bestFit="1" customWidth="1"/>
    <col min="3290" max="3290" width="2.21875" customWidth="1"/>
    <col min="3291" max="3291" width="1.77734375" customWidth="1"/>
    <col min="3292" max="3292" width="9.77734375" customWidth="1"/>
    <col min="3293" max="3293" width="14.21875" customWidth="1"/>
    <col min="3294" max="3294" width="6.21875" customWidth="1"/>
    <col min="3295" max="3295" width="7.77734375" customWidth="1"/>
    <col min="3296" max="3296" width="7.21875" customWidth="1"/>
    <col min="3297" max="3297" width="3.5546875" customWidth="1"/>
    <col min="3298" max="3299" width="7.44140625" customWidth="1"/>
    <col min="3300" max="3300" width="6.21875" customWidth="1"/>
    <col min="3301" max="3301" width="9.77734375" customWidth="1"/>
    <col min="3302" max="3302" width="5.21875" customWidth="1"/>
    <col min="3303" max="3303" width="5.44140625" customWidth="1"/>
    <col min="3304" max="3304" width="5.21875" customWidth="1"/>
    <col min="3305" max="3305" width="5.77734375" customWidth="1"/>
    <col min="3306" max="3306" width="5.21875" customWidth="1"/>
    <col min="3307" max="3307" width="5.5546875" customWidth="1"/>
    <col min="3308" max="3308" width="6.77734375" customWidth="1"/>
    <col min="3309" max="3309" width="6.21875" customWidth="1"/>
    <col min="3310" max="3310" width="0.77734375" customWidth="1"/>
    <col min="3311" max="3311" width="4.5546875" customWidth="1"/>
    <col min="3312" max="3312" width="6.21875" customWidth="1"/>
    <col min="3313" max="3313" width="0.77734375" customWidth="1"/>
    <col min="3314" max="3314" width="3.5546875" customWidth="1"/>
    <col min="3315" max="3315" width="3" customWidth="1"/>
    <col min="3316" max="3316" width="6.5546875" customWidth="1"/>
    <col min="3317" max="3317" width="1" customWidth="1"/>
    <col min="3318" max="3318" width="6.77734375" customWidth="1"/>
    <col min="3319" max="3319" width="8.44140625" customWidth="1"/>
    <col min="3320" max="3320" width="9.44140625" bestFit="1" customWidth="1"/>
    <col min="3321" max="3321" width="0.77734375" customWidth="1"/>
    <col min="3322" max="3322" width="5.5546875" customWidth="1"/>
    <col min="3323" max="3323" width="6" customWidth="1"/>
    <col min="3324" max="3324" width="0.77734375" customWidth="1"/>
    <col min="3325" max="3325" width="3.5546875" customWidth="1"/>
    <col min="3326" max="3326" width="3.21875" customWidth="1"/>
    <col min="3327" max="3329" width="3" customWidth="1"/>
    <col min="3330" max="3330" width="7" customWidth="1"/>
    <col min="3331" max="3331" width="0.77734375" customWidth="1"/>
    <col min="3332" max="3332" width="5.44140625" customWidth="1"/>
    <col min="3333" max="3333" width="6.21875" customWidth="1"/>
    <col min="3334" max="3334" width="5" customWidth="1"/>
    <col min="3335" max="3338" width="0" hidden="1" customWidth="1"/>
    <col min="3339" max="3339" width="4.21875" customWidth="1"/>
    <col min="3340" max="3340" width="1" customWidth="1"/>
    <col min="3341" max="3341" width="2.77734375" customWidth="1"/>
    <col min="3342" max="3346" width="3" customWidth="1"/>
    <col min="3347" max="3347" width="3.44140625" customWidth="1"/>
    <col min="3348" max="3348" width="6.21875" customWidth="1"/>
    <col min="3349" max="3349" width="5.44140625" customWidth="1"/>
    <col min="3350" max="3350" width="5.21875" customWidth="1"/>
    <col min="3351" max="3351" width="41.77734375" customWidth="1"/>
    <col min="3352" max="3352" width="35" bestFit="1" customWidth="1"/>
    <col min="3546" max="3546" width="2.21875" customWidth="1"/>
    <col min="3547" max="3547" width="1.77734375" customWidth="1"/>
    <col min="3548" max="3548" width="9.77734375" customWidth="1"/>
    <col min="3549" max="3549" width="14.21875" customWidth="1"/>
    <col min="3550" max="3550" width="6.21875" customWidth="1"/>
    <col min="3551" max="3551" width="7.77734375" customWidth="1"/>
    <col min="3552" max="3552" width="7.21875" customWidth="1"/>
    <col min="3553" max="3553" width="3.5546875" customWidth="1"/>
    <col min="3554" max="3555" width="7.44140625" customWidth="1"/>
    <col min="3556" max="3556" width="6.21875" customWidth="1"/>
    <col min="3557" max="3557" width="9.77734375" customWidth="1"/>
    <col min="3558" max="3558" width="5.21875" customWidth="1"/>
    <col min="3559" max="3559" width="5.44140625" customWidth="1"/>
    <col min="3560" max="3560" width="5.21875" customWidth="1"/>
    <col min="3561" max="3561" width="5.77734375" customWidth="1"/>
    <col min="3562" max="3562" width="5.21875" customWidth="1"/>
    <col min="3563" max="3563" width="5.5546875" customWidth="1"/>
    <col min="3564" max="3564" width="6.77734375" customWidth="1"/>
    <col min="3565" max="3565" width="6.21875" customWidth="1"/>
    <col min="3566" max="3566" width="0.77734375" customWidth="1"/>
    <col min="3567" max="3567" width="4.5546875" customWidth="1"/>
    <col min="3568" max="3568" width="6.21875" customWidth="1"/>
    <col min="3569" max="3569" width="0.77734375" customWidth="1"/>
    <col min="3570" max="3570" width="3.5546875" customWidth="1"/>
    <col min="3571" max="3571" width="3" customWidth="1"/>
    <col min="3572" max="3572" width="6.5546875" customWidth="1"/>
    <col min="3573" max="3573" width="1" customWidth="1"/>
    <col min="3574" max="3574" width="6.77734375" customWidth="1"/>
    <col min="3575" max="3575" width="8.44140625" customWidth="1"/>
    <col min="3576" max="3576" width="9.44140625" bestFit="1" customWidth="1"/>
    <col min="3577" max="3577" width="0.77734375" customWidth="1"/>
    <col min="3578" max="3578" width="5.5546875" customWidth="1"/>
    <col min="3579" max="3579" width="6" customWidth="1"/>
    <col min="3580" max="3580" width="0.77734375" customWidth="1"/>
    <col min="3581" max="3581" width="3.5546875" customWidth="1"/>
    <col min="3582" max="3582" width="3.21875" customWidth="1"/>
    <col min="3583" max="3585" width="3" customWidth="1"/>
    <col min="3586" max="3586" width="7" customWidth="1"/>
    <col min="3587" max="3587" width="0.77734375" customWidth="1"/>
    <col min="3588" max="3588" width="5.44140625" customWidth="1"/>
    <col min="3589" max="3589" width="6.21875" customWidth="1"/>
    <col min="3590" max="3590" width="5" customWidth="1"/>
    <col min="3591" max="3594" width="0" hidden="1" customWidth="1"/>
    <col min="3595" max="3595" width="4.21875" customWidth="1"/>
    <col min="3596" max="3596" width="1" customWidth="1"/>
    <col min="3597" max="3597" width="2.77734375" customWidth="1"/>
    <col min="3598" max="3602" width="3" customWidth="1"/>
    <col min="3603" max="3603" width="3.44140625" customWidth="1"/>
    <col min="3604" max="3604" width="6.21875" customWidth="1"/>
    <col min="3605" max="3605" width="5.44140625" customWidth="1"/>
    <col min="3606" max="3606" width="5.21875" customWidth="1"/>
    <col min="3607" max="3607" width="41.77734375" customWidth="1"/>
    <col min="3608" max="3608" width="35" bestFit="1" customWidth="1"/>
    <col min="3802" max="3802" width="2.21875" customWidth="1"/>
    <col min="3803" max="3803" width="1.77734375" customWidth="1"/>
    <col min="3804" max="3804" width="9.77734375" customWidth="1"/>
    <col min="3805" max="3805" width="14.21875" customWidth="1"/>
    <col min="3806" max="3806" width="6.21875" customWidth="1"/>
    <col min="3807" max="3807" width="7.77734375" customWidth="1"/>
    <col min="3808" max="3808" width="7.21875" customWidth="1"/>
    <col min="3809" max="3809" width="3.5546875" customWidth="1"/>
    <col min="3810" max="3811" width="7.44140625" customWidth="1"/>
    <col min="3812" max="3812" width="6.21875" customWidth="1"/>
    <col min="3813" max="3813" width="9.77734375" customWidth="1"/>
    <col min="3814" max="3814" width="5.21875" customWidth="1"/>
    <col min="3815" max="3815" width="5.44140625" customWidth="1"/>
    <col min="3816" max="3816" width="5.21875" customWidth="1"/>
    <col min="3817" max="3817" width="5.77734375" customWidth="1"/>
    <col min="3818" max="3818" width="5.21875" customWidth="1"/>
    <col min="3819" max="3819" width="5.5546875" customWidth="1"/>
    <col min="3820" max="3820" width="6.77734375" customWidth="1"/>
    <col min="3821" max="3821" width="6.21875" customWidth="1"/>
    <col min="3822" max="3822" width="0.77734375" customWidth="1"/>
    <col min="3823" max="3823" width="4.5546875" customWidth="1"/>
    <col min="3824" max="3824" width="6.21875" customWidth="1"/>
    <col min="3825" max="3825" width="0.77734375" customWidth="1"/>
    <col min="3826" max="3826" width="3.5546875" customWidth="1"/>
    <col min="3827" max="3827" width="3" customWidth="1"/>
    <col min="3828" max="3828" width="6.5546875" customWidth="1"/>
    <col min="3829" max="3829" width="1" customWidth="1"/>
    <col min="3830" max="3830" width="6.77734375" customWidth="1"/>
    <col min="3831" max="3831" width="8.44140625" customWidth="1"/>
    <col min="3832" max="3832" width="9.44140625" bestFit="1" customWidth="1"/>
    <col min="3833" max="3833" width="0.77734375" customWidth="1"/>
    <col min="3834" max="3834" width="5.5546875" customWidth="1"/>
    <col min="3835" max="3835" width="6" customWidth="1"/>
    <col min="3836" max="3836" width="0.77734375" customWidth="1"/>
    <col min="3837" max="3837" width="3.5546875" customWidth="1"/>
    <col min="3838" max="3838" width="3.21875" customWidth="1"/>
    <col min="3839" max="3841" width="3" customWidth="1"/>
    <col min="3842" max="3842" width="7" customWidth="1"/>
    <col min="3843" max="3843" width="0.77734375" customWidth="1"/>
    <col min="3844" max="3844" width="5.44140625" customWidth="1"/>
    <col min="3845" max="3845" width="6.21875" customWidth="1"/>
    <col min="3846" max="3846" width="5" customWidth="1"/>
    <col min="3847" max="3850" width="0" hidden="1" customWidth="1"/>
    <col min="3851" max="3851" width="4.21875" customWidth="1"/>
    <col min="3852" max="3852" width="1" customWidth="1"/>
    <col min="3853" max="3853" width="2.77734375" customWidth="1"/>
    <col min="3854" max="3858" width="3" customWidth="1"/>
    <col min="3859" max="3859" width="3.44140625" customWidth="1"/>
    <col min="3860" max="3860" width="6.21875" customWidth="1"/>
    <col min="3861" max="3861" width="5.44140625" customWidth="1"/>
    <col min="3862" max="3862" width="5.21875" customWidth="1"/>
    <col min="3863" max="3863" width="41.77734375" customWidth="1"/>
    <col min="3864" max="3864" width="35" bestFit="1" customWidth="1"/>
    <col min="4058" max="4058" width="2.21875" customWidth="1"/>
    <col min="4059" max="4059" width="1.77734375" customWidth="1"/>
    <col min="4060" max="4060" width="9.77734375" customWidth="1"/>
    <col min="4061" max="4061" width="14.21875" customWidth="1"/>
    <col min="4062" max="4062" width="6.21875" customWidth="1"/>
    <col min="4063" max="4063" width="7.77734375" customWidth="1"/>
    <col min="4064" max="4064" width="7.21875" customWidth="1"/>
    <col min="4065" max="4065" width="3.5546875" customWidth="1"/>
    <col min="4066" max="4067" width="7.44140625" customWidth="1"/>
    <col min="4068" max="4068" width="6.21875" customWidth="1"/>
    <col min="4069" max="4069" width="9.77734375" customWidth="1"/>
    <col min="4070" max="4070" width="5.21875" customWidth="1"/>
    <col min="4071" max="4071" width="5.44140625" customWidth="1"/>
    <col min="4072" max="4072" width="5.21875" customWidth="1"/>
    <col min="4073" max="4073" width="5.77734375" customWidth="1"/>
    <col min="4074" max="4074" width="5.21875" customWidth="1"/>
    <col min="4075" max="4075" width="5.5546875" customWidth="1"/>
    <col min="4076" max="4076" width="6.77734375" customWidth="1"/>
    <col min="4077" max="4077" width="6.21875" customWidth="1"/>
    <col min="4078" max="4078" width="0.77734375" customWidth="1"/>
    <col min="4079" max="4079" width="4.5546875" customWidth="1"/>
    <col min="4080" max="4080" width="6.21875" customWidth="1"/>
    <col min="4081" max="4081" width="0.77734375" customWidth="1"/>
    <col min="4082" max="4082" width="3.5546875" customWidth="1"/>
    <col min="4083" max="4083" width="3" customWidth="1"/>
    <col min="4084" max="4084" width="6.5546875" customWidth="1"/>
    <col min="4085" max="4085" width="1" customWidth="1"/>
    <col min="4086" max="4086" width="6.77734375" customWidth="1"/>
    <col min="4087" max="4087" width="8.44140625" customWidth="1"/>
    <col min="4088" max="4088" width="9.44140625" bestFit="1" customWidth="1"/>
    <col min="4089" max="4089" width="0.77734375" customWidth="1"/>
    <col min="4090" max="4090" width="5.5546875" customWidth="1"/>
    <col min="4091" max="4091" width="6" customWidth="1"/>
    <col min="4092" max="4092" width="0.77734375" customWidth="1"/>
    <col min="4093" max="4093" width="3.5546875" customWidth="1"/>
    <col min="4094" max="4094" width="3.21875" customWidth="1"/>
    <col min="4095" max="4097" width="3" customWidth="1"/>
    <col min="4098" max="4098" width="7" customWidth="1"/>
    <col min="4099" max="4099" width="0.77734375" customWidth="1"/>
    <col min="4100" max="4100" width="5.44140625" customWidth="1"/>
    <col min="4101" max="4101" width="6.21875" customWidth="1"/>
    <col min="4102" max="4102" width="5" customWidth="1"/>
    <col min="4103" max="4106" width="0" hidden="1" customWidth="1"/>
    <col min="4107" max="4107" width="4.21875" customWidth="1"/>
    <col min="4108" max="4108" width="1" customWidth="1"/>
    <col min="4109" max="4109" width="2.77734375" customWidth="1"/>
    <col min="4110" max="4114" width="3" customWidth="1"/>
    <col min="4115" max="4115" width="3.44140625" customWidth="1"/>
    <col min="4116" max="4116" width="6.21875" customWidth="1"/>
    <col min="4117" max="4117" width="5.44140625" customWidth="1"/>
    <col min="4118" max="4118" width="5.21875" customWidth="1"/>
    <col min="4119" max="4119" width="41.77734375" customWidth="1"/>
    <col min="4120" max="4120" width="35" bestFit="1" customWidth="1"/>
    <col min="4314" max="4314" width="2.21875" customWidth="1"/>
    <col min="4315" max="4315" width="1.77734375" customWidth="1"/>
    <col min="4316" max="4316" width="9.77734375" customWidth="1"/>
    <col min="4317" max="4317" width="14.21875" customWidth="1"/>
    <col min="4318" max="4318" width="6.21875" customWidth="1"/>
    <col min="4319" max="4319" width="7.77734375" customWidth="1"/>
    <col min="4320" max="4320" width="7.21875" customWidth="1"/>
    <col min="4321" max="4321" width="3.5546875" customWidth="1"/>
    <col min="4322" max="4323" width="7.44140625" customWidth="1"/>
    <col min="4324" max="4324" width="6.21875" customWidth="1"/>
    <col min="4325" max="4325" width="9.77734375" customWidth="1"/>
    <col min="4326" max="4326" width="5.21875" customWidth="1"/>
    <col min="4327" max="4327" width="5.44140625" customWidth="1"/>
    <col min="4328" max="4328" width="5.21875" customWidth="1"/>
    <col min="4329" max="4329" width="5.77734375" customWidth="1"/>
    <col min="4330" max="4330" width="5.21875" customWidth="1"/>
    <col min="4331" max="4331" width="5.5546875" customWidth="1"/>
    <col min="4332" max="4332" width="6.77734375" customWidth="1"/>
    <col min="4333" max="4333" width="6.21875" customWidth="1"/>
    <col min="4334" max="4334" width="0.77734375" customWidth="1"/>
    <col min="4335" max="4335" width="4.5546875" customWidth="1"/>
    <col min="4336" max="4336" width="6.21875" customWidth="1"/>
    <col min="4337" max="4337" width="0.77734375" customWidth="1"/>
    <col min="4338" max="4338" width="3.5546875" customWidth="1"/>
    <col min="4339" max="4339" width="3" customWidth="1"/>
    <col min="4340" max="4340" width="6.5546875" customWidth="1"/>
    <col min="4341" max="4341" width="1" customWidth="1"/>
    <col min="4342" max="4342" width="6.77734375" customWidth="1"/>
    <col min="4343" max="4343" width="8.44140625" customWidth="1"/>
    <col min="4344" max="4344" width="9.44140625" bestFit="1" customWidth="1"/>
    <col min="4345" max="4345" width="0.77734375" customWidth="1"/>
    <col min="4346" max="4346" width="5.5546875" customWidth="1"/>
    <col min="4347" max="4347" width="6" customWidth="1"/>
    <col min="4348" max="4348" width="0.77734375" customWidth="1"/>
    <col min="4349" max="4349" width="3.5546875" customWidth="1"/>
    <col min="4350" max="4350" width="3.21875" customWidth="1"/>
    <col min="4351" max="4353" width="3" customWidth="1"/>
    <col min="4354" max="4354" width="7" customWidth="1"/>
    <col min="4355" max="4355" width="0.77734375" customWidth="1"/>
    <col min="4356" max="4356" width="5.44140625" customWidth="1"/>
    <col min="4357" max="4357" width="6.21875" customWidth="1"/>
    <col min="4358" max="4358" width="5" customWidth="1"/>
    <col min="4359" max="4362" width="0" hidden="1" customWidth="1"/>
    <col min="4363" max="4363" width="4.21875" customWidth="1"/>
    <col min="4364" max="4364" width="1" customWidth="1"/>
    <col min="4365" max="4365" width="2.77734375" customWidth="1"/>
    <col min="4366" max="4370" width="3" customWidth="1"/>
    <col min="4371" max="4371" width="3.44140625" customWidth="1"/>
    <col min="4372" max="4372" width="6.21875" customWidth="1"/>
    <col min="4373" max="4373" width="5.44140625" customWidth="1"/>
    <col min="4374" max="4374" width="5.21875" customWidth="1"/>
    <col min="4375" max="4375" width="41.77734375" customWidth="1"/>
    <col min="4376" max="4376" width="35" bestFit="1" customWidth="1"/>
    <col min="4570" max="4570" width="2.21875" customWidth="1"/>
    <col min="4571" max="4571" width="1.77734375" customWidth="1"/>
    <col min="4572" max="4572" width="9.77734375" customWidth="1"/>
    <col min="4573" max="4573" width="14.21875" customWidth="1"/>
    <col min="4574" max="4574" width="6.21875" customWidth="1"/>
    <col min="4575" max="4575" width="7.77734375" customWidth="1"/>
    <col min="4576" max="4576" width="7.21875" customWidth="1"/>
    <col min="4577" max="4577" width="3.5546875" customWidth="1"/>
    <col min="4578" max="4579" width="7.44140625" customWidth="1"/>
    <col min="4580" max="4580" width="6.21875" customWidth="1"/>
    <col min="4581" max="4581" width="9.77734375" customWidth="1"/>
    <col min="4582" max="4582" width="5.21875" customWidth="1"/>
    <col min="4583" max="4583" width="5.44140625" customWidth="1"/>
    <col min="4584" max="4584" width="5.21875" customWidth="1"/>
    <col min="4585" max="4585" width="5.77734375" customWidth="1"/>
    <col min="4586" max="4586" width="5.21875" customWidth="1"/>
    <col min="4587" max="4587" width="5.5546875" customWidth="1"/>
    <col min="4588" max="4588" width="6.77734375" customWidth="1"/>
    <col min="4589" max="4589" width="6.21875" customWidth="1"/>
    <col min="4590" max="4590" width="0.77734375" customWidth="1"/>
    <col min="4591" max="4591" width="4.5546875" customWidth="1"/>
    <col min="4592" max="4592" width="6.21875" customWidth="1"/>
    <col min="4593" max="4593" width="0.77734375" customWidth="1"/>
    <col min="4594" max="4594" width="3.5546875" customWidth="1"/>
    <col min="4595" max="4595" width="3" customWidth="1"/>
    <col min="4596" max="4596" width="6.5546875" customWidth="1"/>
    <col min="4597" max="4597" width="1" customWidth="1"/>
    <col min="4598" max="4598" width="6.77734375" customWidth="1"/>
    <col min="4599" max="4599" width="8.44140625" customWidth="1"/>
    <col min="4600" max="4600" width="9.44140625" bestFit="1" customWidth="1"/>
    <col min="4601" max="4601" width="0.77734375" customWidth="1"/>
    <col min="4602" max="4602" width="5.5546875" customWidth="1"/>
    <col min="4603" max="4603" width="6" customWidth="1"/>
    <col min="4604" max="4604" width="0.77734375" customWidth="1"/>
    <col min="4605" max="4605" width="3.5546875" customWidth="1"/>
    <col min="4606" max="4606" width="3.21875" customWidth="1"/>
    <col min="4607" max="4609" width="3" customWidth="1"/>
    <col min="4610" max="4610" width="7" customWidth="1"/>
    <col min="4611" max="4611" width="0.77734375" customWidth="1"/>
    <col min="4612" max="4612" width="5.44140625" customWidth="1"/>
    <col min="4613" max="4613" width="6.21875" customWidth="1"/>
    <col min="4614" max="4614" width="5" customWidth="1"/>
    <col min="4615" max="4618" width="0" hidden="1" customWidth="1"/>
    <col min="4619" max="4619" width="4.21875" customWidth="1"/>
    <col min="4620" max="4620" width="1" customWidth="1"/>
    <col min="4621" max="4621" width="2.77734375" customWidth="1"/>
    <col min="4622" max="4626" width="3" customWidth="1"/>
    <col min="4627" max="4627" width="3.44140625" customWidth="1"/>
    <col min="4628" max="4628" width="6.21875" customWidth="1"/>
    <col min="4629" max="4629" width="5.44140625" customWidth="1"/>
    <col min="4630" max="4630" width="5.21875" customWidth="1"/>
    <col min="4631" max="4631" width="41.77734375" customWidth="1"/>
    <col min="4632" max="4632" width="35" bestFit="1" customWidth="1"/>
    <col min="4826" max="4826" width="2.21875" customWidth="1"/>
    <col min="4827" max="4827" width="1.77734375" customWidth="1"/>
    <col min="4828" max="4828" width="9.77734375" customWidth="1"/>
    <col min="4829" max="4829" width="14.21875" customWidth="1"/>
    <col min="4830" max="4830" width="6.21875" customWidth="1"/>
    <col min="4831" max="4831" width="7.77734375" customWidth="1"/>
    <col min="4832" max="4832" width="7.21875" customWidth="1"/>
    <col min="4833" max="4833" width="3.5546875" customWidth="1"/>
    <col min="4834" max="4835" width="7.44140625" customWidth="1"/>
    <col min="4836" max="4836" width="6.21875" customWidth="1"/>
    <col min="4837" max="4837" width="9.77734375" customWidth="1"/>
    <col min="4838" max="4838" width="5.21875" customWidth="1"/>
    <col min="4839" max="4839" width="5.44140625" customWidth="1"/>
    <col min="4840" max="4840" width="5.21875" customWidth="1"/>
    <col min="4841" max="4841" width="5.77734375" customWidth="1"/>
    <col min="4842" max="4842" width="5.21875" customWidth="1"/>
    <col min="4843" max="4843" width="5.5546875" customWidth="1"/>
    <col min="4844" max="4844" width="6.77734375" customWidth="1"/>
    <col min="4845" max="4845" width="6.21875" customWidth="1"/>
    <col min="4846" max="4846" width="0.77734375" customWidth="1"/>
    <col min="4847" max="4847" width="4.5546875" customWidth="1"/>
    <col min="4848" max="4848" width="6.21875" customWidth="1"/>
    <col min="4849" max="4849" width="0.77734375" customWidth="1"/>
    <col min="4850" max="4850" width="3.5546875" customWidth="1"/>
    <col min="4851" max="4851" width="3" customWidth="1"/>
    <col min="4852" max="4852" width="6.5546875" customWidth="1"/>
    <col min="4853" max="4853" width="1" customWidth="1"/>
    <col min="4854" max="4854" width="6.77734375" customWidth="1"/>
    <col min="4855" max="4855" width="8.44140625" customWidth="1"/>
    <col min="4856" max="4856" width="9.44140625" bestFit="1" customWidth="1"/>
    <col min="4857" max="4857" width="0.77734375" customWidth="1"/>
    <col min="4858" max="4858" width="5.5546875" customWidth="1"/>
    <col min="4859" max="4859" width="6" customWidth="1"/>
    <col min="4860" max="4860" width="0.77734375" customWidth="1"/>
    <col min="4861" max="4861" width="3.5546875" customWidth="1"/>
    <col min="4862" max="4862" width="3.21875" customWidth="1"/>
    <col min="4863" max="4865" width="3" customWidth="1"/>
    <col min="4866" max="4866" width="7" customWidth="1"/>
    <col min="4867" max="4867" width="0.77734375" customWidth="1"/>
    <col min="4868" max="4868" width="5.44140625" customWidth="1"/>
    <col min="4869" max="4869" width="6.21875" customWidth="1"/>
    <col min="4870" max="4870" width="5" customWidth="1"/>
    <col min="4871" max="4874" width="0" hidden="1" customWidth="1"/>
    <col min="4875" max="4875" width="4.21875" customWidth="1"/>
    <col min="4876" max="4876" width="1" customWidth="1"/>
    <col min="4877" max="4877" width="2.77734375" customWidth="1"/>
    <col min="4878" max="4882" width="3" customWidth="1"/>
    <col min="4883" max="4883" width="3.44140625" customWidth="1"/>
    <col min="4884" max="4884" width="6.21875" customWidth="1"/>
    <col min="4885" max="4885" width="5.44140625" customWidth="1"/>
    <col min="4886" max="4886" width="5.21875" customWidth="1"/>
    <col min="4887" max="4887" width="41.77734375" customWidth="1"/>
    <col min="4888" max="4888" width="35" bestFit="1" customWidth="1"/>
    <col min="5082" max="5082" width="2.21875" customWidth="1"/>
    <col min="5083" max="5083" width="1.77734375" customWidth="1"/>
    <col min="5084" max="5084" width="9.77734375" customWidth="1"/>
    <col min="5085" max="5085" width="14.21875" customWidth="1"/>
    <col min="5086" max="5086" width="6.21875" customWidth="1"/>
    <col min="5087" max="5087" width="7.77734375" customWidth="1"/>
    <col min="5088" max="5088" width="7.21875" customWidth="1"/>
    <col min="5089" max="5089" width="3.5546875" customWidth="1"/>
    <col min="5090" max="5091" width="7.44140625" customWidth="1"/>
    <col min="5092" max="5092" width="6.21875" customWidth="1"/>
    <col min="5093" max="5093" width="9.77734375" customWidth="1"/>
    <col min="5094" max="5094" width="5.21875" customWidth="1"/>
    <col min="5095" max="5095" width="5.44140625" customWidth="1"/>
    <col min="5096" max="5096" width="5.21875" customWidth="1"/>
    <col min="5097" max="5097" width="5.77734375" customWidth="1"/>
    <col min="5098" max="5098" width="5.21875" customWidth="1"/>
    <col min="5099" max="5099" width="5.5546875" customWidth="1"/>
    <col min="5100" max="5100" width="6.77734375" customWidth="1"/>
    <col min="5101" max="5101" width="6.21875" customWidth="1"/>
    <col min="5102" max="5102" width="0.77734375" customWidth="1"/>
    <col min="5103" max="5103" width="4.5546875" customWidth="1"/>
    <col min="5104" max="5104" width="6.21875" customWidth="1"/>
    <col min="5105" max="5105" width="0.77734375" customWidth="1"/>
    <col min="5106" max="5106" width="3.5546875" customWidth="1"/>
    <col min="5107" max="5107" width="3" customWidth="1"/>
    <col min="5108" max="5108" width="6.5546875" customWidth="1"/>
    <col min="5109" max="5109" width="1" customWidth="1"/>
    <col min="5110" max="5110" width="6.77734375" customWidth="1"/>
    <col min="5111" max="5111" width="8.44140625" customWidth="1"/>
    <col min="5112" max="5112" width="9.44140625" bestFit="1" customWidth="1"/>
    <col min="5113" max="5113" width="0.77734375" customWidth="1"/>
    <col min="5114" max="5114" width="5.5546875" customWidth="1"/>
    <col min="5115" max="5115" width="6" customWidth="1"/>
    <col min="5116" max="5116" width="0.77734375" customWidth="1"/>
    <col min="5117" max="5117" width="3.5546875" customWidth="1"/>
    <col min="5118" max="5118" width="3.21875" customWidth="1"/>
    <col min="5119" max="5121" width="3" customWidth="1"/>
    <col min="5122" max="5122" width="7" customWidth="1"/>
    <col min="5123" max="5123" width="0.77734375" customWidth="1"/>
    <col min="5124" max="5124" width="5.44140625" customWidth="1"/>
    <col min="5125" max="5125" width="6.21875" customWidth="1"/>
    <col min="5126" max="5126" width="5" customWidth="1"/>
    <col min="5127" max="5130" width="0" hidden="1" customWidth="1"/>
    <col min="5131" max="5131" width="4.21875" customWidth="1"/>
    <col min="5132" max="5132" width="1" customWidth="1"/>
    <col min="5133" max="5133" width="2.77734375" customWidth="1"/>
    <col min="5134" max="5138" width="3" customWidth="1"/>
    <col min="5139" max="5139" width="3.44140625" customWidth="1"/>
    <col min="5140" max="5140" width="6.21875" customWidth="1"/>
    <col min="5141" max="5141" width="5.44140625" customWidth="1"/>
    <col min="5142" max="5142" width="5.21875" customWidth="1"/>
    <col min="5143" max="5143" width="41.77734375" customWidth="1"/>
    <col min="5144" max="5144" width="35" bestFit="1" customWidth="1"/>
    <col min="5338" max="5338" width="2.21875" customWidth="1"/>
    <col min="5339" max="5339" width="1.77734375" customWidth="1"/>
    <col min="5340" max="5340" width="9.77734375" customWidth="1"/>
    <col min="5341" max="5341" width="14.21875" customWidth="1"/>
    <col min="5342" max="5342" width="6.21875" customWidth="1"/>
    <col min="5343" max="5343" width="7.77734375" customWidth="1"/>
    <col min="5344" max="5344" width="7.21875" customWidth="1"/>
    <col min="5345" max="5345" width="3.5546875" customWidth="1"/>
    <col min="5346" max="5347" width="7.44140625" customWidth="1"/>
    <col min="5348" max="5348" width="6.21875" customWidth="1"/>
    <col min="5349" max="5349" width="9.77734375" customWidth="1"/>
    <col min="5350" max="5350" width="5.21875" customWidth="1"/>
    <col min="5351" max="5351" width="5.44140625" customWidth="1"/>
    <col min="5352" max="5352" width="5.21875" customWidth="1"/>
    <col min="5353" max="5353" width="5.77734375" customWidth="1"/>
    <col min="5354" max="5354" width="5.21875" customWidth="1"/>
    <col min="5355" max="5355" width="5.5546875" customWidth="1"/>
    <col min="5356" max="5356" width="6.77734375" customWidth="1"/>
    <col min="5357" max="5357" width="6.21875" customWidth="1"/>
    <col min="5358" max="5358" width="0.77734375" customWidth="1"/>
    <col min="5359" max="5359" width="4.5546875" customWidth="1"/>
    <col min="5360" max="5360" width="6.21875" customWidth="1"/>
    <col min="5361" max="5361" width="0.77734375" customWidth="1"/>
    <col min="5362" max="5362" width="3.5546875" customWidth="1"/>
    <col min="5363" max="5363" width="3" customWidth="1"/>
    <col min="5364" max="5364" width="6.5546875" customWidth="1"/>
    <col min="5365" max="5365" width="1" customWidth="1"/>
    <col min="5366" max="5366" width="6.77734375" customWidth="1"/>
    <col min="5367" max="5367" width="8.44140625" customWidth="1"/>
    <col min="5368" max="5368" width="9.44140625" bestFit="1" customWidth="1"/>
    <col min="5369" max="5369" width="0.77734375" customWidth="1"/>
    <col min="5370" max="5370" width="5.5546875" customWidth="1"/>
    <col min="5371" max="5371" width="6" customWidth="1"/>
    <col min="5372" max="5372" width="0.77734375" customWidth="1"/>
    <col min="5373" max="5373" width="3.5546875" customWidth="1"/>
    <col min="5374" max="5374" width="3.21875" customWidth="1"/>
    <col min="5375" max="5377" width="3" customWidth="1"/>
    <col min="5378" max="5378" width="7" customWidth="1"/>
    <col min="5379" max="5379" width="0.77734375" customWidth="1"/>
    <col min="5380" max="5380" width="5.44140625" customWidth="1"/>
    <col min="5381" max="5381" width="6.21875" customWidth="1"/>
    <col min="5382" max="5382" width="5" customWidth="1"/>
    <col min="5383" max="5386" width="0" hidden="1" customWidth="1"/>
    <col min="5387" max="5387" width="4.21875" customWidth="1"/>
    <col min="5388" max="5388" width="1" customWidth="1"/>
    <col min="5389" max="5389" width="2.77734375" customWidth="1"/>
    <col min="5390" max="5394" width="3" customWidth="1"/>
    <col min="5395" max="5395" width="3.44140625" customWidth="1"/>
    <col min="5396" max="5396" width="6.21875" customWidth="1"/>
    <col min="5397" max="5397" width="5.44140625" customWidth="1"/>
    <col min="5398" max="5398" width="5.21875" customWidth="1"/>
    <col min="5399" max="5399" width="41.77734375" customWidth="1"/>
    <col min="5400" max="5400" width="35" bestFit="1" customWidth="1"/>
    <col min="5594" max="5594" width="2.21875" customWidth="1"/>
    <col min="5595" max="5595" width="1.77734375" customWidth="1"/>
    <col min="5596" max="5596" width="9.77734375" customWidth="1"/>
    <col min="5597" max="5597" width="14.21875" customWidth="1"/>
    <col min="5598" max="5598" width="6.21875" customWidth="1"/>
    <col min="5599" max="5599" width="7.77734375" customWidth="1"/>
    <col min="5600" max="5600" width="7.21875" customWidth="1"/>
    <col min="5601" max="5601" width="3.5546875" customWidth="1"/>
    <col min="5602" max="5603" width="7.44140625" customWidth="1"/>
    <col min="5604" max="5604" width="6.21875" customWidth="1"/>
    <col min="5605" max="5605" width="9.77734375" customWidth="1"/>
    <col min="5606" max="5606" width="5.21875" customWidth="1"/>
    <col min="5607" max="5607" width="5.44140625" customWidth="1"/>
    <col min="5608" max="5608" width="5.21875" customWidth="1"/>
    <col min="5609" max="5609" width="5.77734375" customWidth="1"/>
    <col min="5610" max="5610" width="5.21875" customWidth="1"/>
    <col min="5611" max="5611" width="5.5546875" customWidth="1"/>
    <col min="5612" max="5612" width="6.77734375" customWidth="1"/>
    <col min="5613" max="5613" width="6.21875" customWidth="1"/>
    <col min="5614" max="5614" width="0.77734375" customWidth="1"/>
    <col min="5615" max="5615" width="4.5546875" customWidth="1"/>
    <col min="5616" max="5616" width="6.21875" customWidth="1"/>
    <col min="5617" max="5617" width="0.77734375" customWidth="1"/>
    <col min="5618" max="5618" width="3.5546875" customWidth="1"/>
    <col min="5619" max="5619" width="3" customWidth="1"/>
    <col min="5620" max="5620" width="6.5546875" customWidth="1"/>
    <col min="5621" max="5621" width="1" customWidth="1"/>
    <col min="5622" max="5622" width="6.77734375" customWidth="1"/>
    <col min="5623" max="5623" width="8.44140625" customWidth="1"/>
    <col min="5624" max="5624" width="9.44140625" bestFit="1" customWidth="1"/>
    <col min="5625" max="5625" width="0.77734375" customWidth="1"/>
    <col min="5626" max="5626" width="5.5546875" customWidth="1"/>
    <col min="5627" max="5627" width="6" customWidth="1"/>
    <col min="5628" max="5628" width="0.77734375" customWidth="1"/>
    <col min="5629" max="5629" width="3.5546875" customWidth="1"/>
    <col min="5630" max="5630" width="3.21875" customWidth="1"/>
    <col min="5631" max="5633" width="3" customWidth="1"/>
    <col min="5634" max="5634" width="7" customWidth="1"/>
    <col min="5635" max="5635" width="0.77734375" customWidth="1"/>
    <col min="5636" max="5636" width="5.44140625" customWidth="1"/>
    <col min="5637" max="5637" width="6.21875" customWidth="1"/>
    <col min="5638" max="5638" width="5" customWidth="1"/>
    <col min="5639" max="5642" width="0" hidden="1" customWidth="1"/>
    <col min="5643" max="5643" width="4.21875" customWidth="1"/>
    <col min="5644" max="5644" width="1" customWidth="1"/>
    <col min="5645" max="5645" width="2.77734375" customWidth="1"/>
    <col min="5646" max="5650" width="3" customWidth="1"/>
    <col min="5651" max="5651" width="3.44140625" customWidth="1"/>
    <col min="5652" max="5652" width="6.21875" customWidth="1"/>
    <col min="5653" max="5653" width="5.44140625" customWidth="1"/>
    <col min="5654" max="5654" width="5.21875" customWidth="1"/>
    <col min="5655" max="5655" width="41.77734375" customWidth="1"/>
    <col min="5656" max="5656" width="35" bestFit="1" customWidth="1"/>
    <col min="5850" max="5850" width="2.21875" customWidth="1"/>
    <col min="5851" max="5851" width="1.77734375" customWidth="1"/>
    <col min="5852" max="5852" width="9.77734375" customWidth="1"/>
    <col min="5853" max="5853" width="14.21875" customWidth="1"/>
    <col min="5854" max="5854" width="6.21875" customWidth="1"/>
    <col min="5855" max="5855" width="7.77734375" customWidth="1"/>
    <col min="5856" max="5856" width="7.21875" customWidth="1"/>
    <col min="5857" max="5857" width="3.5546875" customWidth="1"/>
    <col min="5858" max="5859" width="7.44140625" customWidth="1"/>
    <col min="5860" max="5860" width="6.21875" customWidth="1"/>
    <col min="5861" max="5861" width="9.77734375" customWidth="1"/>
    <col min="5862" max="5862" width="5.21875" customWidth="1"/>
    <col min="5863" max="5863" width="5.44140625" customWidth="1"/>
    <col min="5864" max="5864" width="5.21875" customWidth="1"/>
    <col min="5865" max="5865" width="5.77734375" customWidth="1"/>
    <col min="5866" max="5866" width="5.21875" customWidth="1"/>
    <col min="5867" max="5867" width="5.5546875" customWidth="1"/>
    <col min="5868" max="5868" width="6.77734375" customWidth="1"/>
    <col min="5869" max="5869" width="6.21875" customWidth="1"/>
    <col min="5870" max="5870" width="0.77734375" customWidth="1"/>
    <col min="5871" max="5871" width="4.5546875" customWidth="1"/>
    <col min="5872" max="5872" width="6.21875" customWidth="1"/>
    <col min="5873" max="5873" width="0.77734375" customWidth="1"/>
    <col min="5874" max="5874" width="3.5546875" customWidth="1"/>
    <col min="5875" max="5875" width="3" customWidth="1"/>
    <col min="5876" max="5876" width="6.5546875" customWidth="1"/>
    <col min="5877" max="5877" width="1" customWidth="1"/>
    <col min="5878" max="5878" width="6.77734375" customWidth="1"/>
    <col min="5879" max="5879" width="8.44140625" customWidth="1"/>
    <col min="5880" max="5880" width="9.44140625" bestFit="1" customWidth="1"/>
    <col min="5881" max="5881" width="0.77734375" customWidth="1"/>
    <col min="5882" max="5882" width="5.5546875" customWidth="1"/>
    <col min="5883" max="5883" width="6" customWidth="1"/>
    <col min="5884" max="5884" width="0.77734375" customWidth="1"/>
    <col min="5885" max="5885" width="3.5546875" customWidth="1"/>
    <col min="5886" max="5886" width="3.21875" customWidth="1"/>
    <col min="5887" max="5889" width="3" customWidth="1"/>
    <col min="5890" max="5890" width="7" customWidth="1"/>
    <col min="5891" max="5891" width="0.77734375" customWidth="1"/>
    <col min="5892" max="5892" width="5.44140625" customWidth="1"/>
    <col min="5893" max="5893" width="6.21875" customWidth="1"/>
    <col min="5894" max="5894" width="5" customWidth="1"/>
    <col min="5895" max="5898" width="0" hidden="1" customWidth="1"/>
    <col min="5899" max="5899" width="4.21875" customWidth="1"/>
    <col min="5900" max="5900" width="1" customWidth="1"/>
    <col min="5901" max="5901" width="2.77734375" customWidth="1"/>
    <col min="5902" max="5906" width="3" customWidth="1"/>
    <col min="5907" max="5907" width="3.44140625" customWidth="1"/>
    <col min="5908" max="5908" width="6.21875" customWidth="1"/>
    <col min="5909" max="5909" width="5.44140625" customWidth="1"/>
    <col min="5910" max="5910" width="5.21875" customWidth="1"/>
    <col min="5911" max="5911" width="41.77734375" customWidth="1"/>
    <col min="5912" max="5912" width="35" bestFit="1" customWidth="1"/>
    <col min="6106" max="6106" width="2.21875" customWidth="1"/>
    <col min="6107" max="6107" width="1.77734375" customWidth="1"/>
    <col min="6108" max="6108" width="9.77734375" customWidth="1"/>
    <col min="6109" max="6109" width="14.21875" customWidth="1"/>
    <col min="6110" max="6110" width="6.21875" customWidth="1"/>
    <col min="6111" max="6111" width="7.77734375" customWidth="1"/>
    <col min="6112" max="6112" width="7.21875" customWidth="1"/>
    <col min="6113" max="6113" width="3.5546875" customWidth="1"/>
    <col min="6114" max="6115" width="7.44140625" customWidth="1"/>
    <col min="6116" max="6116" width="6.21875" customWidth="1"/>
    <col min="6117" max="6117" width="9.77734375" customWidth="1"/>
    <col min="6118" max="6118" width="5.21875" customWidth="1"/>
    <col min="6119" max="6119" width="5.44140625" customWidth="1"/>
    <col min="6120" max="6120" width="5.21875" customWidth="1"/>
    <col min="6121" max="6121" width="5.77734375" customWidth="1"/>
    <col min="6122" max="6122" width="5.21875" customWidth="1"/>
    <col min="6123" max="6123" width="5.5546875" customWidth="1"/>
    <col min="6124" max="6124" width="6.77734375" customWidth="1"/>
    <col min="6125" max="6125" width="6.21875" customWidth="1"/>
    <col min="6126" max="6126" width="0.77734375" customWidth="1"/>
    <col min="6127" max="6127" width="4.5546875" customWidth="1"/>
    <col min="6128" max="6128" width="6.21875" customWidth="1"/>
    <col min="6129" max="6129" width="0.77734375" customWidth="1"/>
    <col min="6130" max="6130" width="3.5546875" customWidth="1"/>
    <col min="6131" max="6131" width="3" customWidth="1"/>
    <col min="6132" max="6132" width="6.5546875" customWidth="1"/>
    <col min="6133" max="6133" width="1" customWidth="1"/>
    <col min="6134" max="6134" width="6.77734375" customWidth="1"/>
    <col min="6135" max="6135" width="8.44140625" customWidth="1"/>
    <col min="6136" max="6136" width="9.44140625" bestFit="1" customWidth="1"/>
    <col min="6137" max="6137" width="0.77734375" customWidth="1"/>
    <col min="6138" max="6138" width="5.5546875" customWidth="1"/>
    <col min="6139" max="6139" width="6" customWidth="1"/>
    <col min="6140" max="6140" width="0.77734375" customWidth="1"/>
    <col min="6141" max="6141" width="3.5546875" customWidth="1"/>
    <col min="6142" max="6142" width="3.21875" customWidth="1"/>
    <col min="6143" max="6145" width="3" customWidth="1"/>
    <col min="6146" max="6146" width="7" customWidth="1"/>
    <col min="6147" max="6147" width="0.77734375" customWidth="1"/>
    <col min="6148" max="6148" width="5.44140625" customWidth="1"/>
    <col min="6149" max="6149" width="6.21875" customWidth="1"/>
    <col min="6150" max="6150" width="5" customWidth="1"/>
    <col min="6151" max="6154" width="0" hidden="1" customWidth="1"/>
    <col min="6155" max="6155" width="4.21875" customWidth="1"/>
    <col min="6156" max="6156" width="1" customWidth="1"/>
    <col min="6157" max="6157" width="2.77734375" customWidth="1"/>
    <col min="6158" max="6162" width="3" customWidth="1"/>
    <col min="6163" max="6163" width="3.44140625" customWidth="1"/>
    <col min="6164" max="6164" width="6.21875" customWidth="1"/>
    <col min="6165" max="6165" width="5.44140625" customWidth="1"/>
    <col min="6166" max="6166" width="5.21875" customWidth="1"/>
    <col min="6167" max="6167" width="41.77734375" customWidth="1"/>
    <col min="6168" max="6168" width="35" bestFit="1" customWidth="1"/>
    <col min="6362" max="6362" width="2.21875" customWidth="1"/>
    <col min="6363" max="6363" width="1.77734375" customWidth="1"/>
    <col min="6364" max="6364" width="9.77734375" customWidth="1"/>
    <col min="6365" max="6365" width="14.21875" customWidth="1"/>
    <col min="6366" max="6366" width="6.21875" customWidth="1"/>
    <col min="6367" max="6367" width="7.77734375" customWidth="1"/>
    <col min="6368" max="6368" width="7.21875" customWidth="1"/>
    <col min="6369" max="6369" width="3.5546875" customWidth="1"/>
    <col min="6370" max="6371" width="7.44140625" customWidth="1"/>
    <col min="6372" max="6372" width="6.21875" customWidth="1"/>
    <col min="6373" max="6373" width="9.77734375" customWidth="1"/>
    <col min="6374" max="6374" width="5.21875" customWidth="1"/>
    <col min="6375" max="6375" width="5.44140625" customWidth="1"/>
    <col min="6376" max="6376" width="5.21875" customWidth="1"/>
    <col min="6377" max="6377" width="5.77734375" customWidth="1"/>
    <col min="6378" max="6378" width="5.21875" customWidth="1"/>
    <col min="6379" max="6379" width="5.5546875" customWidth="1"/>
    <col min="6380" max="6380" width="6.77734375" customWidth="1"/>
    <col min="6381" max="6381" width="6.21875" customWidth="1"/>
    <col min="6382" max="6382" width="0.77734375" customWidth="1"/>
    <col min="6383" max="6383" width="4.5546875" customWidth="1"/>
    <col min="6384" max="6384" width="6.21875" customWidth="1"/>
    <col min="6385" max="6385" width="0.77734375" customWidth="1"/>
    <col min="6386" max="6386" width="3.5546875" customWidth="1"/>
    <col min="6387" max="6387" width="3" customWidth="1"/>
    <col min="6388" max="6388" width="6.5546875" customWidth="1"/>
    <col min="6389" max="6389" width="1" customWidth="1"/>
    <col min="6390" max="6390" width="6.77734375" customWidth="1"/>
    <col min="6391" max="6391" width="8.44140625" customWidth="1"/>
    <col min="6392" max="6392" width="9.44140625" bestFit="1" customWidth="1"/>
    <col min="6393" max="6393" width="0.77734375" customWidth="1"/>
    <col min="6394" max="6394" width="5.5546875" customWidth="1"/>
    <col min="6395" max="6395" width="6" customWidth="1"/>
    <col min="6396" max="6396" width="0.77734375" customWidth="1"/>
    <col min="6397" max="6397" width="3.5546875" customWidth="1"/>
    <col min="6398" max="6398" width="3.21875" customWidth="1"/>
    <col min="6399" max="6401" width="3" customWidth="1"/>
    <col min="6402" max="6402" width="7" customWidth="1"/>
    <col min="6403" max="6403" width="0.77734375" customWidth="1"/>
    <col min="6404" max="6404" width="5.44140625" customWidth="1"/>
    <col min="6405" max="6405" width="6.21875" customWidth="1"/>
    <col min="6406" max="6406" width="5" customWidth="1"/>
    <col min="6407" max="6410" width="0" hidden="1" customWidth="1"/>
    <col min="6411" max="6411" width="4.21875" customWidth="1"/>
    <col min="6412" max="6412" width="1" customWidth="1"/>
    <col min="6413" max="6413" width="2.77734375" customWidth="1"/>
    <col min="6414" max="6418" width="3" customWidth="1"/>
    <col min="6419" max="6419" width="3.44140625" customWidth="1"/>
    <col min="6420" max="6420" width="6.21875" customWidth="1"/>
    <col min="6421" max="6421" width="5.44140625" customWidth="1"/>
    <col min="6422" max="6422" width="5.21875" customWidth="1"/>
    <col min="6423" max="6423" width="41.77734375" customWidth="1"/>
    <col min="6424" max="6424" width="35" bestFit="1" customWidth="1"/>
    <col min="6618" max="6618" width="2.21875" customWidth="1"/>
    <col min="6619" max="6619" width="1.77734375" customWidth="1"/>
    <col min="6620" max="6620" width="9.77734375" customWidth="1"/>
    <col min="6621" max="6621" width="14.21875" customWidth="1"/>
    <col min="6622" max="6622" width="6.21875" customWidth="1"/>
    <col min="6623" max="6623" width="7.77734375" customWidth="1"/>
    <col min="6624" max="6624" width="7.21875" customWidth="1"/>
    <col min="6625" max="6625" width="3.5546875" customWidth="1"/>
    <col min="6626" max="6627" width="7.44140625" customWidth="1"/>
    <col min="6628" max="6628" width="6.21875" customWidth="1"/>
    <col min="6629" max="6629" width="9.77734375" customWidth="1"/>
    <col min="6630" max="6630" width="5.21875" customWidth="1"/>
    <col min="6631" max="6631" width="5.44140625" customWidth="1"/>
    <col min="6632" max="6632" width="5.21875" customWidth="1"/>
    <col min="6633" max="6633" width="5.77734375" customWidth="1"/>
    <col min="6634" max="6634" width="5.21875" customWidth="1"/>
    <col min="6635" max="6635" width="5.5546875" customWidth="1"/>
    <col min="6636" max="6636" width="6.77734375" customWidth="1"/>
    <col min="6637" max="6637" width="6.21875" customWidth="1"/>
    <col min="6638" max="6638" width="0.77734375" customWidth="1"/>
    <col min="6639" max="6639" width="4.5546875" customWidth="1"/>
    <col min="6640" max="6640" width="6.21875" customWidth="1"/>
    <col min="6641" max="6641" width="0.77734375" customWidth="1"/>
    <col min="6642" max="6642" width="3.5546875" customWidth="1"/>
    <col min="6643" max="6643" width="3" customWidth="1"/>
    <col min="6644" max="6644" width="6.5546875" customWidth="1"/>
    <col min="6645" max="6645" width="1" customWidth="1"/>
    <col min="6646" max="6646" width="6.77734375" customWidth="1"/>
    <col min="6647" max="6647" width="8.44140625" customWidth="1"/>
    <col min="6648" max="6648" width="9.44140625" bestFit="1" customWidth="1"/>
    <col min="6649" max="6649" width="0.77734375" customWidth="1"/>
    <col min="6650" max="6650" width="5.5546875" customWidth="1"/>
    <col min="6651" max="6651" width="6" customWidth="1"/>
    <col min="6652" max="6652" width="0.77734375" customWidth="1"/>
    <col min="6653" max="6653" width="3.5546875" customWidth="1"/>
    <col min="6654" max="6654" width="3.21875" customWidth="1"/>
    <col min="6655" max="6657" width="3" customWidth="1"/>
    <col min="6658" max="6658" width="7" customWidth="1"/>
    <col min="6659" max="6659" width="0.77734375" customWidth="1"/>
    <col min="6660" max="6660" width="5.44140625" customWidth="1"/>
    <col min="6661" max="6661" width="6.21875" customWidth="1"/>
    <col min="6662" max="6662" width="5" customWidth="1"/>
    <col min="6663" max="6666" width="0" hidden="1" customWidth="1"/>
    <col min="6667" max="6667" width="4.21875" customWidth="1"/>
    <col min="6668" max="6668" width="1" customWidth="1"/>
    <col min="6669" max="6669" width="2.77734375" customWidth="1"/>
    <col min="6670" max="6674" width="3" customWidth="1"/>
    <col min="6675" max="6675" width="3.44140625" customWidth="1"/>
    <col min="6676" max="6676" width="6.21875" customWidth="1"/>
    <col min="6677" max="6677" width="5.44140625" customWidth="1"/>
    <col min="6678" max="6678" width="5.21875" customWidth="1"/>
    <col min="6679" max="6679" width="41.77734375" customWidth="1"/>
    <col min="6680" max="6680" width="35" bestFit="1" customWidth="1"/>
    <col min="6874" max="6874" width="2.21875" customWidth="1"/>
    <col min="6875" max="6875" width="1.77734375" customWidth="1"/>
    <col min="6876" max="6876" width="9.77734375" customWidth="1"/>
    <col min="6877" max="6877" width="14.21875" customWidth="1"/>
    <col min="6878" max="6878" width="6.21875" customWidth="1"/>
    <col min="6879" max="6879" width="7.77734375" customWidth="1"/>
    <col min="6880" max="6880" width="7.21875" customWidth="1"/>
    <col min="6881" max="6881" width="3.5546875" customWidth="1"/>
    <col min="6882" max="6883" width="7.44140625" customWidth="1"/>
    <col min="6884" max="6884" width="6.21875" customWidth="1"/>
    <col min="6885" max="6885" width="9.77734375" customWidth="1"/>
    <col min="6886" max="6886" width="5.21875" customWidth="1"/>
    <col min="6887" max="6887" width="5.44140625" customWidth="1"/>
    <col min="6888" max="6888" width="5.21875" customWidth="1"/>
    <col min="6889" max="6889" width="5.77734375" customWidth="1"/>
    <col min="6890" max="6890" width="5.21875" customWidth="1"/>
    <col min="6891" max="6891" width="5.5546875" customWidth="1"/>
    <col min="6892" max="6892" width="6.77734375" customWidth="1"/>
    <col min="6893" max="6893" width="6.21875" customWidth="1"/>
    <col min="6894" max="6894" width="0.77734375" customWidth="1"/>
    <col min="6895" max="6895" width="4.5546875" customWidth="1"/>
    <col min="6896" max="6896" width="6.21875" customWidth="1"/>
    <col min="6897" max="6897" width="0.77734375" customWidth="1"/>
    <col min="6898" max="6898" width="3.5546875" customWidth="1"/>
    <col min="6899" max="6899" width="3" customWidth="1"/>
    <col min="6900" max="6900" width="6.5546875" customWidth="1"/>
    <col min="6901" max="6901" width="1" customWidth="1"/>
    <col min="6902" max="6902" width="6.77734375" customWidth="1"/>
    <col min="6903" max="6903" width="8.44140625" customWidth="1"/>
    <col min="6904" max="6904" width="9.44140625" bestFit="1" customWidth="1"/>
    <col min="6905" max="6905" width="0.77734375" customWidth="1"/>
    <col min="6906" max="6906" width="5.5546875" customWidth="1"/>
    <col min="6907" max="6907" width="6" customWidth="1"/>
    <col min="6908" max="6908" width="0.77734375" customWidth="1"/>
    <col min="6909" max="6909" width="3.5546875" customWidth="1"/>
    <col min="6910" max="6910" width="3.21875" customWidth="1"/>
    <col min="6911" max="6913" width="3" customWidth="1"/>
    <col min="6914" max="6914" width="7" customWidth="1"/>
    <col min="6915" max="6915" width="0.77734375" customWidth="1"/>
    <col min="6916" max="6916" width="5.44140625" customWidth="1"/>
    <col min="6917" max="6917" width="6.21875" customWidth="1"/>
    <col min="6918" max="6918" width="5" customWidth="1"/>
    <col min="6919" max="6922" width="0" hidden="1" customWidth="1"/>
    <col min="6923" max="6923" width="4.21875" customWidth="1"/>
    <col min="6924" max="6924" width="1" customWidth="1"/>
    <col min="6925" max="6925" width="2.77734375" customWidth="1"/>
    <col min="6926" max="6930" width="3" customWidth="1"/>
    <col min="6931" max="6931" width="3.44140625" customWidth="1"/>
    <col min="6932" max="6932" width="6.21875" customWidth="1"/>
    <col min="6933" max="6933" width="5.44140625" customWidth="1"/>
    <col min="6934" max="6934" width="5.21875" customWidth="1"/>
    <col min="6935" max="6935" width="41.77734375" customWidth="1"/>
    <col min="6936" max="6936" width="35" bestFit="1" customWidth="1"/>
    <col min="7130" max="7130" width="2.21875" customWidth="1"/>
    <col min="7131" max="7131" width="1.77734375" customWidth="1"/>
    <col min="7132" max="7132" width="9.77734375" customWidth="1"/>
    <col min="7133" max="7133" width="14.21875" customWidth="1"/>
    <col min="7134" max="7134" width="6.21875" customWidth="1"/>
    <col min="7135" max="7135" width="7.77734375" customWidth="1"/>
    <col min="7136" max="7136" width="7.21875" customWidth="1"/>
    <col min="7137" max="7137" width="3.5546875" customWidth="1"/>
    <col min="7138" max="7139" width="7.44140625" customWidth="1"/>
    <col min="7140" max="7140" width="6.21875" customWidth="1"/>
    <col min="7141" max="7141" width="9.77734375" customWidth="1"/>
    <col min="7142" max="7142" width="5.21875" customWidth="1"/>
    <col min="7143" max="7143" width="5.44140625" customWidth="1"/>
    <col min="7144" max="7144" width="5.21875" customWidth="1"/>
    <col min="7145" max="7145" width="5.77734375" customWidth="1"/>
    <col min="7146" max="7146" width="5.21875" customWidth="1"/>
    <col min="7147" max="7147" width="5.5546875" customWidth="1"/>
    <col min="7148" max="7148" width="6.77734375" customWidth="1"/>
    <col min="7149" max="7149" width="6.21875" customWidth="1"/>
    <col min="7150" max="7150" width="0.77734375" customWidth="1"/>
    <col min="7151" max="7151" width="4.5546875" customWidth="1"/>
    <col min="7152" max="7152" width="6.21875" customWidth="1"/>
    <col min="7153" max="7153" width="0.77734375" customWidth="1"/>
    <col min="7154" max="7154" width="3.5546875" customWidth="1"/>
    <col min="7155" max="7155" width="3" customWidth="1"/>
    <col min="7156" max="7156" width="6.5546875" customWidth="1"/>
    <col min="7157" max="7157" width="1" customWidth="1"/>
    <col min="7158" max="7158" width="6.77734375" customWidth="1"/>
    <col min="7159" max="7159" width="8.44140625" customWidth="1"/>
    <col min="7160" max="7160" width="9.44140625" bestFit="1" customWidth="1"/>
    <col min="7161" max="7161" width="0.77734375" customWidth="1"/>
    <col min="7162" max="7162" width="5.5546875" customWidth="1"/>
    <col min="7163" max="7163" width="6" customWidth="1"/>
    <col min="7164" max="7164" width="0.77734375" customWidth="1"/>
    <col min="7165" max="7165" width="3.5546875" customWidth="1"/>
    <col min="7166" max="7166" width="3.21875" customWidth="1"/>
    <col min="7167" max="7169" width="3" customWidth="1"/>
    <col min="7170" max="7170" width="7" customWidth="1"/>
    <col min="7171" max="7171" width="0.77734375" customWidth="1"/>
    <col min="7172" max="7172" width="5.44140625" customWidth="1"/>
    <col min="7173" max="7173" width="6.21875" customWidth="1"/>
    <col min="7174" max="7174" width="5" customWidth="1"/>
    <col min="7175" max="7178" width="0" hidden="1" customWidth="1"/>
    <col min="7179" max="7179" width="4.21875" customWidth="1"/>
    <col min="7180" max="7180" width="1" customWidth="1"/>
    <col min="7181" max="7181" width="2.77734375" customWidth="1"/>
    <col min="7182" max="7186" width="3" customWidth="1"/>
    <col min="7187" max="7187" width="3.44140625" customWidth="1"/>
    <col min="7188" max="7188" width="6.21875" customWidth="1"/>
    <col min="7189" max="7189" width="5.44140625" customWidth="1"/>
    <col min="7190" max="7190" width="5.21875" customWidth="1"/>
    <col min="7191" max="7191" width="41.77734375" customWidth="1"/>
    <col min="7192" max="7192" width="35" bestFit="1" customWidth="1"/>
    <col min="7386" max="7386" width="2.21875" customWidth="1"/>
    <col min="7387" max="7387" width="1.77734375" customWidth="1"/>
    <col min="7388" max="7388" width="9.77734375" customWidth="1"/>
    <col min="7389" max="7389" width="14.21875" customWidth="1"/>
    <col min="7390" max="7390" width="6.21875" customWidth="1"/>
    <col min="7391" max="7391" width="7.77734375" customWidth="1"/>
    <col min="7392" max="7392" width="7.21875" customWidth="1"/>
    <col min="7393" max="7393" width="3.5546875" customWidth="1"/>
    <col min="7394" max="7395" width="7.44140625" customWidth="1"/>
    <col min="7396" max="7396" width="6.21875" customWidth="1"/>
    <col min="7397" max="7397" width="9.77734375" customWidth="1"/>
    <col min="7398" max="7398" width="5.21875" customWidth="1"/>
    <col min="7399" max="7399" width="5.44140625" customWidth="1"/>
    <col min="7400" max="7400" width="5.21875" customWidth="1"/>
    <col min="7401" max="7401" width="5.77734375" customWidth="1"/>
    <col min="7402" max="7402" width="5.21875" customWidth="1"/>
    <col min="7403" max="7403" width="5.5546875" customWidth="1"/>
    <col min="7404" max="7404" width="6.77734375" customWidth="1"/>
    <col min="7405" max="7405" width="6.21875" customWidth="1"/>
    <col min="7406" max="7406" width="0.77734375" customWidth="1"/>
    <col min="7407" max="7407" width="4.5546875" customWidth="1"/>
    <col min="7408" max="7408" width="6.21875" customWidth="1"/>
    <col min="7409" max="7409" width="0.77734375" customWidth="1"/>
    <col min="7410" max="7410" width="3.5546875" customWidth="1"/>
    <col min="7411" max="7411" width="3" customWidth="1"/>
    <col min="7412" max="7412" width="6.5546875" customWidth="1"/>
    <col min="7413" max="7413" width="1" customWidth="1"/>
    <col min="7414" max="7414" width="6.77734375" customWidth="1"/>
    <col min="7415" max="7415" width="8.44140625" customWidth="1"/>
    <col min="7416" max="7416" width="9.44140625" bestFit="1" customWidth="1"/>
    <col min="7417" max="7417" width="0.77734375" customWidth="1"/>
    <col min="7418" max="7418" width="5.5546875" customWidth="1"/>
    <col min="7419" max="7419" width="6" customWidth="1"/>
    <col min="7420" max="7420" width="0.77734375" customWidth="1"/>
    <col min="7421" max="7421" width="3.5546875" customWidth="1"/>
    <col min="7422" max="7422" width="3.21875" customWidth="1"/>
    <col min="7423" max="7425" width="3" customWidth="1"/>
    <col min="7426" max="7426" width="7" customWidth="1"/>
    <col min="7427" max="7427" width="0.77734375" customWidth="1"/>
    <col min="7428" max="7428" width="5.44140625" customWidth="1"/>
    <col min="7429" max="7429" width="6.21875" customWidth="1"/>
    <col min="7430" max="7430" width="5" customWidth="1"/>
    <col min="7431" max="7434" width="0" hidden="1" customWidth="1"/>
    <col min="7435" max="7435" width="4.21875" customWidth="1"/>
    <col min="7436" max="7436" width="1" customWidth="1"/>
    <col min="7437" max="7437" width="2.77734375" customWidth="1"/>
    <col min="7438" max="7442" width="3" customWidth="1"/>
    <col min="7443" max="7443" width="3.44140625" customWidth="1"/>
    <col min="7444" max="7444" width="6.21875" customWidth="1"/>
    <col min="7445" max="7445" width="5.44140625" customWidth="1"/>
    <col min="7446" max="7446" width="5.21875" customWidth="1"/>
    <col min="7447" max="7447" width="41.77734375" customWidth="1"/>
    <col min="7448" max="7448" width="35" bestFit="1" customWidth="1"/>
    <col min="7642" max="7642" width="2.21875" customWidth="1"/>
    <col min="7643" max="7643" width="1.77734375" customWidth="1"/>
    <col min="7644" max="7644" width="9.77734375" customWidth="1"/>
    <col min="7645" max="7645" width="14.21875" customWidth="1"/>
    <col min="7646" max="7646" width="6.21875" customWidth="1"/>
    <col min="7647" max="7647" width="7.77734375" customWidth="1"/>
    <col min="7648" max="7648" width="7.21875" customWidth="1"/>
    <col min="7649" max="7649" width="3.5546875" customWidth="1"/>
    <col min="7650" max="7651" width="7.44140625" customWidth="1"/>
    <col min="7652" max="7652" width="6.21875" customWidth="1"/>
    <col min="7653" max="7653" width="9.77734375" customWidth="1"/>
    <col min="7654" max="7654" width="5.21875" customWidth="1"/>
    <col min="7655" max="7655" width="5.44140625" customWidth="1"/>
    <col min="7656" max="7656" width="5.21875" customWidth="1"/>
    <col min="7657" max="7657" width="5.77734375" customWidth="1"/>
    <col min="7658" max="7658" width="5.21875" customWidth="1"/>
    <col min="7659" max="7659" width="5.5546875" customWidth="1"/>
    <col min="7660" max="7660" width="6.77734375" customWidth="1"/>
    <col min="7661" max="7661" width="6.21875" customWidth="1"/>
    <col min="7662" max="7662" width="0.77734375" customWidth="1"/>
    <col min="7663" max="7663" width="4.5546875" customWidth="1"/>
    <col min="7664" max="7664" width="6.21875" customWidth="1"/>
    <col min="7665" max="7665" width="0.77734375" customWidth="1"/>
    <col min="7666" max="7666" width="3.5546875" customWidth="1"/>
    <col min="7667" max="7667" width="3" customWidth="1"/>
    <col min="7668" max="7668" width="6.5546875" customWidth="1"/>
    <col min="7669" max="7669" width="1" customWidth="1"/>
    <col min="7670" max="7670" width="6.77734375" customWidth="1"/>
    <col min="7671" max="7671" width="8.44140625" customWidth="1"/>
    <col min="7672" max="7672" width="9.44140625" bestFit="1" customWidth="1"/>
    <col min="7673" max="7673" width="0.77734375" customWidth="1"/>
    <col min="7674" max="7674" width="5.5546875" customWidth="1"/>
    <col min="7675" max="7675" width="6" customWidth="1"/>
    <col min="7676" max="7676" width="0.77734375" customWidth="1"/>
    <col min="7677" max="7677" width="3.5546875" customWidth="1"/>
    <col min="7678" max="7678" width="3.21875" customWidth="1"/>
    <col min="7679" max="7681" width="3" customWidth="1"/>
    <col min="7682" max="7682" width="7" customWidth="1"/>
    <col min="7683" max="7683" width="0.77734375" customWidth="1"/>
    <col min="7684" max="7684" width="5.44140625" customWidth="1"/>
    <col min="7685" max="7685" width="6.21875" customWidth="1"/>
    <col min="7686" max="7686" width="5" customWidth="1"/>
    <col min="7687" max="7690" width="0" hidden="1" customWidth="1"/>
    <col min="7691" max="7691" width="4.21875" customWidth="1"/>
    <col min="7692" max="7692" width="1" customWidth="1"/>
    <col min="7693" max="7693" width="2.77734375" customWidth="1"/>
    <col min="7694" max="7698" width="3" customWidth="1"/>
    <col min="7699" max="7699" width="3.44140625" customWidth="1"/>
    <col min="7700" max="7700" width="6.21875" customWidth="1"/>
    <col min="7701" max="7701" width="5.44140625" customWidth="1"/>
    <col min="7702" max="7702" width="5.21875" customWidth="1"/>
    <col min="7703" max="7703" width="41.77734375" customWidth="1"/>
    <col min="7704" max="7704" width="35" bestFit="1" customWidth="1"/>
    <col min="7898" max="7898" width="2.21875" customWidth="1"/>
    <col min="7899" max="7899" width="1.77734375" customWidth="1"/>
    <col min="7900" max="7900" width="9.77734375" customWidth="1"/>
    <col min="7901" max="7901" width="14.21875" customWidth="1"/>
    <col min="7902" max="7902" width="6.21875" customWidth="1"/>
    <col min="7903" max="7903" width="7.77734375" customWidth="1"/>
    <col min="7904" max="7904" width="7.21875" customWidth="1"/>
    <col min="7905" max="7905" width="3.5546875" customWidth="1"/>
    <col min="7906" max="7907" width="7.44140625" customWidth="1"/>
    <col min="7908" max="7908" width="6.21875" customWidth="1"/>
    <col min="7909" max="7909" width="9.77734375" customWidth="1"/>
    <col min="7910" max="7910" width="5.21875" customWidth="1"/>
    <col min="7911" max="7911" width="5.44140625" customWidth="1"/>
    <col min="7912" max="7912" width="5.21875" customWidth="1"/>
    <col min="7913" max="7913" width="5.77734375" customWidth="1"/>
    <col min="7914" max="7914" width="5.21875" customWidth="1"/>
    <col min="7915" max="7915" width="5.5546875" customWidth="1"/>
    <col min="7916" max="7916" width="6.77734375" customWidth="1"/>
    <col min="7917" max="7917" width="6.21875" customWidth="1"/>
    <col min="7918" max="7918" width="0.77734375" customWidth="1"/>
    <col min="7919" max="7919" width="4.5546875" customWidth="1"/>
    <col min="7920" max="7920" width="6.21875" customWidth="1"/>
    <col min="7921" max="7921" width="0.77734375" customWidth="1"/>
    <col min="7922" max="7922" width="3.5546875" customWidth="1"/>
    <col min="7923" max="7923" width="3" customWidth="1"/>
    <col min="7924" max="7924" width="6.5546875" customWidth="1"/>
    <col min="7925" max="7925" width="1" customWidth="1"/>
    <col min="7926" max="7926" width="6.77734375" customWidth="1"/>
    <col min="7927" max="7927" width="8.44140625" customWidth="1"/>
    <col min="7928" max="7928" width="9.44140625" bestFit="1" customWidth="1"/>
    <col min="7929" max="7929" width="0.77734375" customWidth="1"/>
    <col min="7930" max="7930" width="5.5546875" customWidth="1"/>
    <col min="7931" max="7931" width="6" customWidth="1"/>
    <col min="7932" max="7932" width="0.77734375" customWidth="1"/>
    <col min="7933" max="7933" width="3.5546875" customWidth="1"/>
    <col min="7934" max="7934" width="3.21875" customWidth="1"/>
    <col min="7935" max="7937" width="3" customWidth="1"/>
    <col min="7938" max="7938" width="7" customWidth="1"/>
    <col min="7939" max="7939" width="0.77734375" customWidth="1"/>
    <col min="7940" max="7940" width="5.44140625" customWidth="1"/>
    <col min="7941" max="7941" width="6.21875" customWidth="1"/>
    <col min="7942" max="7942" width="5" customWidth="1"/>
    <col min="7943" max="7946" width="0" hidden="1" customWidth="1"/>
    <col min="7947" max="7947" width="4.21875" customWidth="1"/>
    <col min="7948" max="7948" width="1" customWidth="1"/>
    <col min="7949" max="7949" width="2.77734375" customWidth="1"/>
    <col min="7950" max="7954" width="3" customWidth="1"/>
    <col min="7955" max="7955" width="3.44140625" customWidth="1"/>
    <col min="7956" max="7956" width="6.21875" customWidth="1"/>
    <col min="7957" max="7957" width="5.44140625" customWidth="1"/>
    <col min="7958" max="7958" width="5.21875" customWidth="1"/>
    <col min="7959" max="7959" width="41.77734375" customWidth="1"/>
    <col min="7960" max="7960" width="35" bestFit="1" customWidth="1"/>
    <col min="8154" max="8154" width="2.21875" customWidth="1"/>
    <col min="8155" max="8155" width="1.77734375" customWidth="1"/>
    <col min="8156" max="8156" width="9.77734375" customWidth="1"/>
    <col min="8157" max="8157" width="14.21875" customWidth="1"/>
    <col min="8158" max="8158" width="6.21875" customWidth="1"/>
    <col min="8159" max="8159" width="7.77734375" customWidth="1"/>
    <col min="8160" max="8160" width="7.21875" customWidth="1"/>
    <col min="8161" max="8161" width="3.5546875" customWidth="1"/>
    <col min="8162" max="8163" width="7.44140625" customWidth="1"/>
    <col min="8164" max="8164" width="6.21875" customWidth="1"/>
    <col min="8165" max="8165" width="9.77734375" customWidth="1"/>
    <col min="8166" max="8166" width="5.21875" customWidth="1"/>
    <col min="8167" max="8167" width="5.44140625" customWidth="1"/>
    <col min="8168" max="8168" width="5.21875" customWidth="1"/>
    <col min="8169" max="8169" width="5.77734375" customWidth="1"/>
    <col min="8170" max="8170" width="5.21875" customWidth="1"/>
    <col min="8171" max="8171" width="5.5546875" customWidth="1"/>
    <col min="8172" max="8172" width="6.77734375" customWidth="1"/>
    <col min="8173" max="8173" width="6.21875" customWidth="1"/>
    <col min="8174" max="8174" width="0.77734375" customWidth="1"/>
    <col min="8175" max="8175" width="4.5546875" customWidth="1"/>
    <col min="8176" max="8176" width="6.21875" customWidth="1"/>
    <col min="8177" max="8177" width="0.77734375" customWidth="1"/>
    <col min="8178" max="8178" width="3.5546875" customWidth="1"/>
    <col min="8179" max="8179" width="3" customWidth="1"/>
    <col min="8180" max="8180" width="6.5546875" customWidth="1"/>
    <col min="8181" max="8181" width="1" customWidth="1"/>
    <col min="8182" max="8182" width="6.77734375" customWidth="1"/>
    <col min="8183" max="8183" width="8.44140625" customWidth="1"/>
    <col min="8184" max="8184" width="9.44140625" bestFit="1" customWidth="1"/>
    <col min="8185" max="8185" width="0.77734375" customWidth="1"/>
    <col min="8186" max="8186" width="5.5546875" customWidth="1"/>
    <col min="8187" max="8187" width="6" customWidth="1"/>
    <col min="8188" max="8188" width="0.77734375" customWidth="1"/>
    <col min="8189" max="8189" width="3.5546875" customWidth="1"/>
    <col min="8190" max="8190" width="3.21875" customWidth="1"/>
    <col min="8191" max="8193" width="3" customWidth="1"/>
    <col min="8194" max="8194" width="7" customWidth="1"/>
    <col min="8195" max="8195" width="0.77734375" customWidth="1"/>
    <col min="8196" max="8196" width="5.44140625" customWidth="1"/>
    <col min="8197" max="8197" width="6.21875" customWidth="1"/>
    <col min="8198" max="8198" width="5" customWidth="1"/>
    <col min="8199" max="8202" width="0" hidden="1" customWidth="1"/>
    <col min="8203" max="8203" width="4.21875" customWidth="1"/>
    <col min="8204" max="8204" width="1" customWidth="1"/>
    <col min="8205" max="8205" width="2.77734375" customWidth="1"/>
    <col min="8206" max="8210" width="3" customWidth="1"/>
    <col min="8211" max="8211" width="3.44140625" customWidth="1"/>
    <col min="8212" max="8212" width="6.21875" customWidth="1"/>
    <col min="8213" max="8213" width="5.44140625" customWidth="1"/>
    <col min="8214" max="8214" width="5.21875" customWidth="1"/>
    <col min="8215" max="8215" width="41.77734375" customWidth="1"/>
    <col min="8216" max="8216" width="35" bestFit="1" customWidth="1"/>
    <col min="8410" max="8410" width="2.21875" customWidth="1"/>
    <col min="8411" max="8411" width="1.77734375" customWidth="1"/>
    <col min="8412" max="8412" width="9.77734375" customWidth="1"/>
    <col min="8413" max="8413" width="14.21875" customWidth="1"/>
    <col min="8414" max="8414" width="6.21875" customWidth="1"/>
    <col min="8415" max="8415" width="7.77734375" customWidth="1"/>
    <col min="8416" max="8416" width="7.21875" customWidth="1"/>
    <col min="8417" max="8417" width="3.5546875" customWidth="1"/>
    <col min="8418" max="8419" width="7.44140625" customWidth="1"/>
    <col min="8420" max="8420" width="6.21875" customWidth="1"/>
    <col min="8421" max="8421" width="9.77734375" customWidth="1"/>
    <col min="8422" max="8422" width="5.21875" customWidth="1"/>
    <col min="8423" max="8423" width="5.44140625" customWidth="1"/>
    <col min="8424" max="8424" width="5.21875" customWidth="1"/>
    <col min="8425" max="8425" width="5.77734375" customWidth="1"/>
    <col min="8426" max="8426" width="5.21875" customWidth="1"/>
    <col min="8427" max="8427" width="5.5546875" customWidth="1"/>
    <col min="8428" max="8428" width="6.77734375" customWidth="1"/>
    <col min="8429" max="8429" width="6.21875" customWidth="1"/>
    <col min="8430" max="8430" width="0.77734375" customWidth="1"/>
    <col min="8431" max="8431" width="4.5546875" customWidth="1"/>
    <col min="8432" max="8432" width="6.21875" customWidth="1"/>
    <col min="8433" max="8433" width="0.77734375" customWidth="1"/>
    <col min="8434" max="8434" width="3.5546875" customWidth="1"/>
    <col min="8435" max="8435" width="3" customWidth="1"/>
    <col min="8436" max="8436" width="6.5546875" customWidth="1"/>
    <col min="8437" max="8437" width="1" customWidth="1"/>
    <col min="8438" max="8438" width="6.77734375" customWidth="1"/>
    <col min="8439" max="8439" width="8.44140625" customWidth="1"/>
    <col min="8440" max="8440" width="9.44140625" bestFit="1" customWidth="1"/>
    <col min="8441" max="8441" width="0.77734375" customWidth="1"/>
    <col min="8442" max="8442" width="5.5546875" customWidth="1"/>
    <col min="8443" max="8443" width="6" customWidth="1"/>
    <col min="8444" max="8444" width="0.77734375" customWidth="1"/>
    <col min="8445" max="8445" width="3.5546875" customWidth="1"/>
    <col min="8446" max="8446" width="3.21875" customWidth="1"/>
    <col min="8447" max="8449" width="3" customWidth="1"/>
    <col min="8450" max="8450" width="7" customWidth="1"/>
    <col min="8451" max="8451" width="0.77734375" customWidth="1"/>
    <col min="8452" max="8452" width="5.44140625" customWidth="1"/>
    <col min="8453" max="8453" width="6.21875" customWidth="1"/>
    <col min="8454" max="8454" width="5" customWidth="1"/>
    <col min="8455" max="8458" width="0" hidden="1" customWidth="1"/>
    <col min="8459" max="8459" width="4.21875" customWidth="1"/>
    <col min="8460" max="8460" width="1" customWidth="1"/>
    <col min="8461" max="8461" width="2.77734375" customWidth="1"/>
    <col min="8462" max="8466" width="3" customWidth="1"/>
    <col min="8467" max="8467" width="3.44140625" customWidth="1"/>
    <col min="8468" max="8468" width="6.21875" customWidth="1"/>
    <col min="8469" max="8469" width="5.44140625" customWidth="1"/>
    <col min="8470" max="8470" width="5.21875" customWidth="1"/>
    <col min="8471" max="8471" width="41.77734375" customWidth="1"/>
    <col min="8472" max="8472" width="35" bestFit="1" customWidth="1"/>
    <col min="8666" max="8666" width="2.21875" customWidth="1"/>
    <col min="8667" max="8667" width="1.77734375" customWidth="1"/>
    <col min="8668" max="8668" width="9.77734375" customWidth="1"/>
    <col min="8669" max="8669" width="14.21875" customWidth="1"/>
    <col min="8670" max="8670" width="6.21875" customWidth="1"/>
    <col min="8671" max="8671" width="7.77734375" customWidth="1"/>
    <col min="8672" max="8672" width="7.21875" customWidth="1"/>
    <col min="8673" max="8673" width="3.5546875" customWidth="1"/>
    <col min="8674" max="8675" width="7.44140625" customWidth="1"/>
    <col min="8676" max="8676" width="6.21875" customWidth="1"/>
    <col min="8677" max="8677" width="9.77734375" customWidth="1"/>
    <col min="8678" max="8678" width="5.21875" customWidth="1"/>
    <col min="8679" max="8679" width="5.44140625" customWidth="1"/>
    <col min="8680" max="8680" width="5.21875" customWidth="1"/>
    <col min="8681" max="8681" width="5.77734375" customWidth="1"/>
    <col min="8682" max="8682" width="5.21875" customWidth="1"/>
    <col min="8683" max="8683" width="5.5546875" customWidth="1"/>
    <col min="8684" max="8684" width="6.77734375" customWidth="1"/>
    <col min="8685" max="8685" width="6.21875" customWidth="1"/>
    <col min="8686" max="8686" width="0.77734375" customWidth="1"/>
    <col min="8687" max="8687" width="4.5546875" customWidth="1"/>
    <col min="8688" max="8688" width="6.21875" customWidth="1"/>
    <col min="8689" max="8689" width="0.77734375" customWidth="1"/>
    <col min="8690" max="8690" width="3.5546875" customWidth="1"/>
    <col min="8691" max="8691" width="3" customWidth="1"/>
    <col min="8692" max="8692" width="6.5546875" customWidth="1"/>
    <col min="8693" max="8693" width="1" customWidth="1"/>
    <col min="8694" max="8694" width="6.77734375" customWidth="1"/>
    <col min="8695" max="8695" width="8.44140625" customWidth="1"/>
    <col min="8696" max="8696" width="9.44140625" bestFit="1" customWidth="1"/>
    <col min="8697" max="8697" width="0.77734375" customWidth="1"/>
    <col min="8698" max="8698" width="5.5546875" customWidth="1"/>
    <col min="8699" max="8699" width="6" customWidth="1"/>
    <col min="8700" max="8700" width="0.77734375" customWidth="1"/>
    <col min="8701" max="8701" width="3.5546875" customWidth="1"/>
    <col min="8702" max="8702" width="3.21875" customWidth="1"/>
    <col min="8703" max="8705" width="3" customWidth="1"/>
    <col min="8706" max="8706" width="7" customWidth="1"/>
    <col min="8707" max="8707" width="0.77734375" customWidth="1"/>
    <col min="8708" max="8708" width="5.44140625" customWidth="1"/>
    <col min="8709" max="8709" width="6.21875" customWidth="1"/>
    <col min="8710" max="8710" width="5" customWidth="1"/>
    <col min="8711" max="8714" width="0" hidden="1" customWidth="1"/>
    <col min="8715" max="8715" width="4.21875" customWidth="1"/>
    <col min="8716" max="8716" width="1" customWidth="1"/>
    <col min="8717" max="8717" width="2.77734375" customWidth="1"/>
    <col min="8718" max="8722" width="3" customWidth="1"/>
    <col min="8723" max="8723" width="3.44140625" customWidth="1"/>
    <col min="8724" max="8724" width="6.21875" customWidth="1"/>
    <col min="8725" max="8725" width="5.44140625" customWidth="1"/>
    <col min="8726" max="8726" width="5.21875" customWidth="1"/>
    <col min="8727" max="8727" width="41.77734375" customWidth="1"/>
    <col min="8728" max="8728" width="35" bestFit="1" customWidth="1"/>
    <col min="8922" max="8922" width="2.21875" customWidth="1"/>
    <col min="8923" max="8923" width="1.77734375" customWidth="1"/>
    <col min="8924" max="8924" width="9.77734375" customWidth="1"/>
    <col min="8925" max="8925" width="14.21875" customWidth="1"/>
    <col min="8926" max="8926" width="6.21875" customWidth="1"/>
    <col min="8927" max="8927" width="7.77734375" customWidth="1"/>
    <col min="8928" max="8928" width="7.21875" customWidth="1"/>
    <col min="8929" max="8929" width="3.5546875" customWidth="1"/>
    <col min="8930" max="8931" width="7.44140625" customWidth="1"/>
    <col min="8932" max="8932" width="6.21875" customWidth="1"/>
    <col min="8933" max="8933" width="9.77734375" customWidth="1"/>
    <col min="8934" max="8934" width="5.21875" customWidth="1"/>
    <col min="8935" max="8935" width="5.44140625" customWidth="1"/>
    <col min="8936" max="8936" width="5.21875" customWidth="1"/>
    <col min="8937" max="8937" width="5.77734375" customWidth="1"/>
    <col min="8938" max="8938" width="5.21875" customWidth="1"/>
    <col min="8939" max="8939" width="5.5546875" customWidth="1"/>
    <col min="8940" max="8940" width="6.77734375" customWidth="1"/>
    <col min="8941" max="8941" width="6.21875" customWidth="1"/>
    <col min="8942" max="8942" width="0.77734375" customWidth="1"/>
    <col min="8943" max="8943" width="4.5546875" customWidth="1"/>
    <col min="8944" max="8944" width="6.21875" customWidth="1"/>
    <col min="8945" max="8945" width="0.77734375" customWidth="1"/>
    <col min="8946" max="8946" width="3.5546875" customWidth="1"/>
    <col min="8947" max="8947" width="3" customWidth="1"/>
    <col min="8948" max="8948" width="6.5546875" customWidth="1"/>
    <col min="8949" max="8949" width="1" customWidth="1"/>
    <col min="8950" max="8950" width="6.77734375" customWidth="1"/>
    <col min="8951" max="8951" width="8.44140625" customWidth="1"/>
    <col min="8952" max="8952" width="9.44140625" bestFit="1" customWidth="1"/>
    <col min="8953" max="8953" width="0.77734375" customWidth="1"/>
    <col min="8954" max="8954" width="5.5546875" customWidth="1"/>
    <col min="8955" max="8955" width="6" customWidth="1"/>
    <col min="8956" max="8956" width="0.77734375" customWidth="1"/>
    <col min="8957" max="8957" width="3.5546875" customWidth="1"/>
    <col min="8958" max="8958" width="3.21875" customWidth="1"/>
    <col min="8959" max="8961" width="3" customWidth="1"/>
    <col min="8962" max="8962" width="7" customWidth="1"/>
    <col min="8963" max="8963" width="0.77734375" customWidth="1"/>
    <col min="8964" max="8964" width="5.44140625" customWidth="1"/>
    <col min="8965" max="8965" width="6.21875" customWidth="1"/>
    <col min="8966" max="8966" width="5" customWidth="1"/>
    <col min="8967" max="8970" width="0" hidden="1" customWidth="1"/>
    <col min="8971" max="8971" width="4.21875" customWidth="1"/>
    <col min="8972" max="8972" width="1" customWidth="1"/>
    <col min="8973" max="8973" width="2.77734375" customWidth="1"/>
    <col min="8974" max="8978" width="3" customWidth="1"/>
    <col min="8979" max="8979" width="3.44140625" customWidth="1"/>
    <col min="8980" max="8980" width="6.21875" customWidth="1"/>
    <col min="8981" max="8981" width="5.44140625" customWidth="1"/>
    <col min="8982" max="8982" width="5.21875" customWidth="1"/>
    <col min="8983" max="8983" width="41.77734375" customWidth="1"/>
    <col min="8984" max="8984" width="35" bestFit="1" customWidth="1"/>
    <col min="9178" max="9178" width="2.21875" customWidth="1"/>
    <col min="9179" max="9179" width="1.77734375" customWidth="1"/>
    <col min="9180" max="9180" width="9.77734375" customWidth="1"/>
    <col min="9181" max="9181" width="14.21875" customWidth="1"/>
    <col min="9182" max="9182" width="6.21875" customWidth="1"/>
    <col min="9183" max="9183" width="7.77734375" customWidth="1"/>
    <col min="9184" max="9184" width="7.21875" customWidth="1"/>
    <col min="9185" max="9185" width="3.5546875" customWidth="1"/>
    <col min="9186" max="9187" width="7.44140625" customWidth="1"/>
    <col min="9188" max="9188" width="6.21875" customWidth="1"/>
    <col min="9189" max="9189" width="9.77734375" customWidth="1"/>
    <col min="9190" max="9190" width="5.21875" customWidth="1"/>
    <col min="9191" max="9191" width="5.44140625" customWidth="1"/>
    <col min="9192" max="9192" width="5.21875" customWidth="1"/>
    <col min="9193" max="9193" width="5.77734375" customWidth="1"/>
    <col min="9194" max="9194" width="5.21875" customWidth="1"/>
    <col min="9195" max="9195" width="5.5546875" customWidth="1"/>
    <col min="9196" max="9196" width="6.77734375" customWidth="1"/>
    <col min="9197" max="9197" width="6.21875" customWidth="1"/>
    <col min="9198" max="9198" width="0.77734375" customWidth="1"/>
    <col min="9199" max="9199" width="4.5546875" customWidth="1"/>
    <col min="9200" max="9200" width="6.21875" customWidth="1"/>
    <col min="9201" max="9201" width="0.77734375" customWidth="1"/>
    <col min="9202" max="9202" width="3.5546875" customWidth="1"/>
    <col min="9203" max="9203" width="3" customWidth="1"/>
    <col min="9204" max="9204" width="6.5546875" customWidth="1"/>
    <col min="9205" max="9205" width="1" customWidth="1"/>
    <col min="9206" max="9206" width="6.77734375" customWidth="1"/>
    <col min="9207" max="9207" width="8.44140625" customWidth="1"/>
    <col min="9208" max="9208" width="9.44140625" bestFit="1" customWidth="1"/>
    <col min="9209" max="9209" width="0.77734375" customWidth="1"/>
    <col min="9210" max="9210" width="5.5546875" customWidth="1"/>
    <col min="9211" max="9211" width="6" customWidth="1"/>
    <col min="9212" max="9212" width="0.77734375" customWidth="1"/>
    <col min="9213" max="9213" width="3.5546875" customWidth="1"/>
    <col min="9214" max="9214" width="3.21875" customWidth="1"/>
    <col min="9215" max="9217" width="3" customWidth="1"/>
    <col min="9218" max="9218" width="7" customWidth="1"/>
    <col min="9219" max="9219" width="0.77734375" customWidth="1"/>
    <col min="9220" max="9220" width="5.44140625" customWidth="1"/>
    <col min="9221" max="9221" width="6.21875" customWidth="1"/>
    <col min="9222" max="9222" width="5" customWidth="1"/>
    <col min="9223" max="9226" width="0" hidden="1" customWidth="1"/>
    <col min="9227" max="9227" width="4.21875" customWidth="1"/>
    <col min="9228" max="9228" width="1" customWidth="1"/>
    <col min="9229" max="9229" width="2.77734375" customWidth="1"/>
    <col min="9230" max="9234" width="3" customWidth="1"/>
    <col min="9235" max="9235" width="3.44140625" customWidth="1"/>
    <col min="9236" max="9236" width="6.21875" customWidth="1"/>
    <col min="9237" max="9237" width="5.44140625" customWidth="1"/>
    <col min="9238" max="9238" width="5.21875" customWidth="1"/>
    <col min="9239" max="9239" width="41.77734375" customWidth="1"/>
    <col min="9240" max="9240" width="35" bestFit="1" customWidth="1"/>
    <col min="9434" max="9434" width="2.21875" customWidth="1"/>
    <col min="9435" max="9435" width="1.77734375" customWidth="1"/>
    <col min="9436" max="9436" width="9.77734375" customWidth="1"/>
    <col min="9437" max="9437" width="14.21875" customWidth="1"/>
    <col min="9438" max="9438" width="6.21875" customWidth="1"/>
    <col min="9439" max="9439" width="7.77734375" customWidth="1"/>
    <col min="9440" max="9440" width="7.21875" customWidth="1"/>
    <col min="9441" max="9441" width="3.5546875" customWidth="1"/>
    <col min="9442" max="9443" width="7.44140625" customWidth="1"/>
    <col min="9444" max="9444" width="6.21875" customWidth="1"/>
    <col min="9445" max="9445" width="9.77734375" customWidth="1"/>
    <col min="9446" max="9446" width="5.21875" customWidth="1"/>
    <col min="9447" max="9447" width="5.44140625" customWidth="1"/>
    <col min="9448" max="9448" width="5.21875" customWidth="1"/>
    <col min="9449" max="9449" width="5.77734375" customWidth="1"/>
    <col min="9450" max="9450" width="5.21875" customWidth="1"/>
    <col min="9451" max="9451" width="5.5546875" customWidth="1"/>
    <col min="9452" max="9452" width="6.77734375" customWidth="1"/>
    <col min="9453" max="9453" width="6.21875" customWidth="1"/>
    <col min="9454" max="9454" width="0.77734375" customWidth="1"/>
    <col min="9455" max="9455" width="4.5546875" customWidth="1"/>
    <col min="9456" max="9456" width="6.21875" customWidth="1"/>
    <col min="9457" max="9457" width="0.77734375" customWidth="1"/>
    <col min="9458" max="9458" width="3.5546875" customWidth="1"/>
    <col min="9459" max="9459" width="3" customWidth="1"/>
    <col min="9460" max="9460" width="6.5546875" customWidth="1"/>
    <col min="9461" max="9461" width="1" customWidth="1"/>
    <col min="9462" max="9462" width="6.77734375" customWidth="1"/>
    <col min="9463" max="9463" width="8.44140625" customWidth="1"/>
    <col min="9464" max="9464" width="9.44140625" bestFit="1" customWidth="1"/>
    <col min="9465" max="9465" width="0.77734375" customWidth="1"/>
    <col min="9466" max="9466" width="5.5546875" customWidth="1"/>
    <col min="9467" max="9467" width="6" customWidth="1"/>
    <col min="9468" max="9468" width="0.77734375" customWidth="1"/>
    <col min="9469" max="9469" width="3.5546875" customWidth="1"/>
    <col min="9470" max="9470" width="3.21875" customWidth="1"/>
    <col min="9471" max="9473" width="3" customWidth="1"/>
    <col min="9474" max="9474" width="7" customWidth="1"/>
    <col min="9475" max="9475" width="0.77734375" customWidth="1"/>
    <col min="9476" max="9476" width="5.44140625" customWidth="1"/>
    <col min="9477" max="9477" width="6.21875" customWidth="1"/>
    <col min="9478" max="9478" width="5" customWidth="1"/>
    <col min="9479" max="9482" width="0" hidden="1" customWidth="1"/>
    <col min="9483" max="9483" width="4.21875" customWidth="1"/>
    <col min="9484" max="9484" width="1" customWidth="1"/>
    <col min="9485" max="9485" width="2.77734375" customWidth="1"/>
    <col min="9486" max="9490" width="3" customWidth="1"/>
    <col min="9491" max="9491" width="3.44140625" customWidth="1"/>
    <col min="9492" max="9492" width="6.21875" customWidth="1"/>
    <col min="9493" max="9493" width="5.44140625" customWidth="1"/>
    <col min="9494" max="9494" width="5.21875" customWidth="1"/>
    <col min="9495" max="9495" width="41.77734375" customWidth="1"/>
    <col min="9496" max="9496" width="35" bestFit="1" customWidth="1"/>
    <col min="9690" max="9690" width="2.21875" customWidth="1"/>
    <col min="9691" max="9691" width="1.77734375" customWidth="1"/>
    <col min="9692" max="9692" width="9.77734375" customWidth="1"/>
    <col min="9693" max="9693" width="14.21875" customWidth="1"/>
    <col min="9694" max="9694" width="6.21875" customWidth="1"/>
    <col min="9695" max="9695" width="7.77734375" customWidth="1"/>
    <col min="9696" max="9696" width="7.21875" customWidth="1"/>
    <col min="9697" max="9697" width="3.5546875" customWidth="1"/>
    <col min="9698" max="9699" width="7.44140625" customWidth="1"/>
    <col min="9700" max="9700" width="6.21875" customWidth="1"/>
    <col min="9701" max="9701" width="9.77734375" customWidth="1"/>
    <col min="9702" max="9702" width="5.21875" customWidth="1"/>
    <col min="9703" max="9703" width="5.44140625" customWidth="1"/>
    <col min="9704" max="9704" width="5.21875" customWidth="1"/>
    <col min="9705" max="9705" width="5.77734375" customWidth="1"/>
    <col min="9706" max="9706" width="5.21875" customWidth="1"/>
    <col min="9707" max="9707" width="5.5546875" customWidth="1"/>
    <col min="9708" max="9708" width="6.77734375" customWidth="1"/>
    <col min="9709" max="9709" width="6.21875" customWidth="1"/>
    <col min="9710" max="9710" width="0.77734375" customWidth="1"/>
    <col min="9711" max="9711" width="4.5546875" customWidth="1"/>
    <col min="9712" max="9712" width="6.21875" customWidth="1"/>
    <col min="9713" max="9713" width="0.77734375" customWidth="1"/>
    <col min="9714" max="9714" width="3.5546875" customWidth="1"/>
    <col min="9715" max="9715" width="3" customWidth="1"/>
    <col min="9716" max="9716" width="6.5546875" customWidth="1"/>
    <col min="9717" max="9717" width="1" customWidth="1"/>
    <col min="9718" max="9718" width="6.77734375" customWidth="1"/>
    <col min="9719" max="9719" width="8.44140625" customWidth="1"/>
    <col min="9720" max="9720" width="9.44140625" bestFit="1" customWidth="1"/>
    <col min="9721" max="9721" width="0.77734375" customWidth="1"/>
    <col min="9722" max="9722" width="5.5546875" customWidth="1"/>
    <col min="9723" max="9723" width="6" customWidth="1"/>
    <col min="9724" max="9724" width="0.77734375" customWidth="1"/>
    <col min="9725" max="9725" width="3.5546875" customWidth="1"/>
    <col min="9726" max="9726" width="3.21875" customWidth="1"/>
    <col min="9727" max="9729" width="3" customWidth="1"/>
    <col min="9730" max="9730" width="7" customWidth="1"/>
    <col min="9731" max="9731" width="0.77734375" customWidth="1"/>
    <col min="9732" max="9732" width="5.44140625" customWidth="1"/>
    <col min="9733" max="9733" width="6.21875" customWidth="1"/>
    <col min="9734" max="9734" width="5" customWidth="1"/>
    <col min="9735" max="9738" width="0" hidden="1" customWidth="1"/>
    <col min="9739" max="9739" width="4.21875" customWidth="1"/>
    <col min="9740" max="9740" width="1" customWidth="1"/>
    <col min="9741" max="9741" width="2.77734375" customWidth="1"/>
    <col min="9742" max="9746" width="3" customWidth="1"/>
    <col min="9747" max="9747" width="3.44140625" customWidth="1"/>
    <col min="9748" max="9748" width="6.21875" customWidth="1"/>
    <col min="9749" max="9749" width="5.44140625" customWidth="1"/>
    <col min="9750" max="9750" width="5.21875" customWidth="1"/>
    <col min="9751" max="9751" width="41.77734375" customWidth="1"/>
    <col min="9752" max="9752" width="35" bestFit="1" customWidth="1"/>
    <col min="9946" max="9946" width="2.21875" customWidth="1"/>
    <col min="9947" max="9947" width="1.77734375" customWidth="1"/>
    <col min="9948" max="9948" width="9.77734375" customWidth="1"/>
    <col min="9949" max="9949" width="14.21875" customWidth="1"/>
    <col min="9950" max="9950" width="6.21875" customWidth="1"/>
    <col min="9951" max="9951" width="7.77734375" customWidth="1"/>
    <col min="9952" max="9952" width="7.21875" customWidth="1"/>
    <col min="9953" max="9953" width="3.5546875" customWidth="1"/>
    <col min="9954" max="9955" width="7.44140625" customWidth="1"/>
    <col min="9956" max="9956" width="6.21875" customWidth="1"/>
    <col min="9957" max="9957" width="9.77734375" customWidth="1"/>
    <col min="9958" max="9958" width="5.21875" customWidth="1"/>
    <col min="9959" max="9959" width="5.44140625" customWidth="1"/>
    <col min="9960" max="9960" width="5.21875" customWidth="1"/>
    <col min="9961" max="9961" width="5.77734375" customWidth="1"/>
    <col min="9962" max="9962" width="5.21875" customWidth="1"/>
    <col min="9963" max="9963" width="5.5546875" customWidth="1"/>
    <col min="9964" max="9964" width="6.77734375" customWidth="1"/>
    <col min="9965" max="9965" width="6.21875" customWidth="1"/>
    <col min="9966" max="9966" width="0.77734375" customWidth="1"/>
    <col min="9967" max="9967" width="4.5546875" customWidth="1"/>
    <col min="9968" max="9968" width="6.21875" customWidth="1"/>
    <col min="9969" max="9969" width="0.77734375" customWidth="1"/>
    <col min="9970" max="9970" width="3.5546875" customWidth="1"/>
    <col min="9971" max="9971" width="3" customWidth="1"/>
    <col min="9972" max="9972" width="6.5546875" customWidth="1"/>
    <col min="9973" max="9973" width="1" customWidth="1"/>
    <col min="9974" max="9974" width="6.77734375" customWidth="1"/>
    <col min="9975" max="9975" width="8.44140625" customWidth="1"/>
    <col min="9976" max="9976" width="9.44140625" bestFit="1" customWidth="1"/>
    <col min="9977" max="9977" width="0.77734375" customWidth="1"/>
    <col min="9978" max="9978" width="5.5546875" customWidth="1"/>
    <col min="9979" max="9979" width="6" customWidth="1"/>
    <col min="9980" max="9980" width="0.77734375" customWidth="1"/>
    <col min="9981" max="9981" width="3.5546875" customWidth="1"/>
    <col min="9982" max="9982" width="3.21875" customWidth="1"/>
    <col min="9983" max="9985" width="3" customWidth="1"/>
    <col min="9986" max="9986" width="7" customWidth="1"/>
    <col min="9987" max="9987" width="0.77734375" customWidth="1"/>
    <col min="9988" max="9988" width="5.44140625" customWidth="1"/>
    <col min="9989" max="9989" width="6.21875" customWidth="1"/>
    <col min="9990" max="9990" width="5" customWidth="1"/>
    <col min="9991" max="9994" width="0" hidden="1" customWidth="1"/>
    <col min="9995" max="9995" width="4.21875" customWidth="1"/>
    <col min="9996" max="9996" width="1" customWidth="1"/>
    <col min="9997" max="9997" width="2.77734375" customWidth="1"/>
    <col min="9998" max="10002" width="3" customWidth="1"/>
    <col min="10003" max="10003" width="3.44140625" customWidth="1"/>
    <col min="10004" max="10004" width="6.21875" customWidth="1"/>
    <col min="10005" max="10005" width="5.44140625" customWidth="1"/>
    <col min="10006" max="10006" width="5.21875" customWidth="1"/>
    <col min="10007" max="10007" width="41.77734375" customWidth="1"/>
    <col min="10008" max="10008" width="35" bestFit="1" customWidth="1"/>
    <col min="10202" max="10202" width="2.21875" customWidth="1"/>
    <col min="10203" max="10203" width="1.77734375" customWidth="1"/>
    <col min="10204" max="10204" width="9.77734375" customWidth="1"/>
    <col min="10205" max="10205" width="14.21875" customWidth="1"/>
    <col min="10206" max="10206" width="6.21875" customWidth="1"/>
    <col min="10207" max="10207" width="7.77734375" customWidth="1"/>
    <col min="10208" max="10208" width="7.21875" customWidth="1"/>
    <col min="10209" max="10209" width="3.5546875" customWidth="1"/>
    <col min="10210" max="10211" width="7.44140625" customWidth="1"/>
    <col min="10212" max="10212" width="6.21875" customWidth="1"/>
    <col min="10213" max="10213" width="9.77734375" customWidth="1"/>
    <col min="10214" max="10214" width="5.21875" customWidth="1"/>
    <col min="10215" max="10215" width="5.44140625" customWidth="1"/>
    <col min="10216" max="10216" width="5.21875" customWidth="1"/>
    <col min="10217" max="10217" width="5.77734375" customWidth="1"/>
    <col min="10218" max="10218" width="5.21875" customWidth="1"/>
    <col min="10219" max="10219" width="5.5546875" customWidth="1"/>
    <col min="10220" max="10220" width="6.77734375" customWidth="1"/>
    <col min="10221" max="10221" width="6.21875" customWidth="1"/>
    <col min="10222" max="10222" width="0.77734375" customWidth="1"/>
    <col min="10223" max="10223" width="4.5546875" customWidth="1"/>
    <col min="10224" max="10224" width="6.21875" customWidth="1"/>
    <col min="10225" max="10225" width="0.77734375" customWidth="1"/>
    <col min="10226" max="10226" width="3.5546875" customWidth="1"/>
    <col min="10227" max="10227" width="3" customWidth="1"/>
    <col min="10228" max="10228" width="6.5546875" customWidth="1"/>
    <col min="10229" max="10229" width="1" customWidth="1"/>
    <col min="10230" max="10230" width="6.77734375" customWidth="1"/>
    <col min="10231" max="10231" width="8.44140625" customWidth="1"/>
    <col min="10232" max="10232" width="9.44140625" bestFit="1" customWidth="1"/>
    <col min="10233" max="10233" width="0.77734375" customWidth="1"/>
    <col min="10234" max="10234" width="5.5546875" customWidth="1"/>
    <col min="10235" max="10235" width="6" customWidth="1"/>
    <col min="10236" max="10236" width="0.77734375" customWidth="1"/>
    <col min="10237" max="10237" width="3.5546875" customWidth="1"/>
    <col min="10238" max="10238" width="3.21875" customWidth="1"/>
    <col min="10239" max="10241" width="3" customWidth="1"/>
    <col min="10242" max="10242" width="7" customWidth="1"/>
    <col min="10243" max="10243" width="0.77734375" customWidth="1"/>
    <col min="10244" max="10244" width="5.44140625" customWidth="1"/>
    <col min="10245" max="10245" width="6.21875" customWidth="1"/>
    <col min="10246" max="10246" width="5" customWidth="1"/>
    <col min="10247" max="10250" width="0" hidden="1" customWidth="1"/>
    <col min="10251" max="10251" width="4.21875" customWidth="1"/>
    <col min="10252" max="10252" width="1" customWidth="1"/>
    <col min="10253" max="10253" width="2.77734375" customWidth="1"/>
    <col min="10254" max="10258" width="3" customWidth="1"/>
    <col min="10259" max="10259" width="3.44140625" customWidth="1"/>
    <col min="10260" max="10260" width="6.21875" customWidth="1"/>
    <col min="10261" max="10261" width="5.44140625" customWidth="1"/>
    <col min="10262" max="10262" width="5.21875" customWidth="1"/>
    <col min="10263" max="10263" width="41.77734375" customWidth="1"/>
    <col min="10264" max="10264" width="35" bestFit="1" customWidth="1"/>
    <col min="10458" max="10458" width="2.21875" customWidth="1"/>
    <col min="10459" max="10459" width="1.77734375" customWidth="1"/>
    <col min="10460" max="10460" width="9.77734375" customWidth="1"/>
    <col min="10461" max="10461" width="14.21875" customWidth="1"/>
    <col min="10462" max="10462" width="6.21875" customWidth="1"/>
    <col min="10463" max="10463" width="7.77734375" customWidth="1"/>
    <col min="10464" max="10464" width="7.21875" customWidth="1"/>
    <col min="10465" max="10465" width="3.5546875" customWidth="1"/>
    <col min="10466" max="10467" width="7.44140625" customWidth="1"/>
    <col min="10468" max="10468" width="6.21875" customWidth="1"/>
    <col min="10469" max="10469" width="9.77734375" customWidth="1"/>
    <col min="10470" max="10470" width="5.21875" customWidth="1"/>
    <col min="10471" max="10471" width="5.44140625" customWidth="1"/>
    <col min="10472" max="10472" width="5.21875" customWidth="1"/>
    <col min="10473" max="10473" width="5.77734375" customWidth="1"/>
    <col min="10474" max="10474" width="5.21875" customWidth="1"/>
    <col min="10475" max="10475" width="5.5546875" customWidth="1"/>
    <col min="10476" max="10476" width="6.77734375" customWidth="1"/>
    <col min="10477" max="10477" width="6.21875" customWidth="1"/>
    <col min="10478" max="10478" width="0.77734375" customWidth="1"/>
    <col min="10479" max="10479" width="4.5546875" customWidth="1"/>
    <col min="10480" max="10480" width="6.21875" customWidth="1"/>
    <col min="10481" max="10481" width="0.77734375" customWidth="1"/>
    <col min="10482" max="10482" width="3.5546875" customWidth="1"/>
    <col min="10483" max="10483" width="3" customWidth="1"/>
    <col min="10484" max="10484" width="6.5546875" customWidth="1"/>
    <col min="10485" max="10485" width="1" customWidth="1"/>
    <col min="10486" max="10486" width="6.77734375" customWidth="1"/>
    <col min="10487" max="10487" width="8.44140625" customWidth="1"/>
    <col min="10488" max="10488" width="9.44140625" bestFit="1" customWidth="1"/>
    <col min="10489" max="10489" width="0.77734375" customWidth="1"/>
    <col min="10490" max="10490" width="5.5546875" customWidth="1"/>
    <col min="10491" max="10491" width="6" customWidth="1"/>
    <col min="10492" max="10492" width="0.77734375" customWidth="1"/>
    <col min="10493" max="10493" width="3.5546875" customWidth="1"/>
    <col min="10494" max="10494" width="3.21875" customWidth="1"/>
    <col min="10495" max="10497" width="3" customWidth="1"/>
    <col min="10498" max="10498" width="7" customWidth="1"/>
    <col min="10499" max="10499" width="0.77734375" customWidth="1"/>
    <col min="10500" max="10500" width="5.44140625" customWidth="1"/>
    <col min="10501" max="10501" width="6.21875" customWidth="1"/>
    <col min="10502" max="10502" width="5" customWidth="1"/>
    <col min="10503" max="10506" width="0" hidden="1" customWidth="1"/>
    <col min="10507" max="10507" width="4.21875" customWidth="1"/>
    <col min="10508" max="10508" width="1" customWidth="1"/>
    <col min="10509" max="10509" width="2.77734375" customWidth="1"/>
    <col min="10510" max="10514" width="3" customWidth="1"/>
    <col min="10515" max="10515" width="3.44140625" customWidth="1"/>
    <col min="10516" max="10516" width="6.21875" customWidth="1"/>
    <col min="10517" max="10517" width="5.44140625" customWidth="1"/>
    <col min="10518" max="10518" width="5.21875" customWidth="1"/>
    <col min="10519" max="10519" width="41.77734375" customWidth="1"/>
    <col min="10520" max="10520" width="35" bestFit="1" customWidth="1"/>
    <col min="10714" max="10714" width="2.21875" customWidth="1"/>
    <col min="10715" max="10715" width="1.77734375" customWidth="1"/>
    <col min="10716" max="10716" width="9.77734375" customWidth="1"/>
    <col min="10717" max="10717" width="14.21875" customWidth="1"/>
    <col min="10718" max="10718" width="6.21875" customWidth="1"/>
    <col min="10719" max="10719" width="7.77734375" customWidth="1"/>
    <col min="10720" max="10720" width="7.21875" customWidth="1"/>
    <col min="10721" max="10721" width="3.5546875" customWidth="1"/>
    <col min="10722" max="10723" width="7.44140625" customWidth="1"/>
    <col min="10724" max="10724" width="6.21875" customWidth="1"/>
    <col min="10725" max="10725" width="9.77734375" customWidth="1"/>
    <col min="10726" max="10726" width="5.21875" customWidth="1"/>
    <col min="10727" max="10727" width="5.44140625" customWidth="1"/>
    <col min="10728" max="10728" width="5.21875" customWidth="1"/>
    <col min="10729" max="10729" width="5.77734375" customWidth="1"/>
    <col min="10730" max="10730" width="5.21875" customWidth="1"/>
    <col min="10731" max="10731" width="5.5546875" customWidth="1"/>
    <col min="10732" max="10732" width="6.77734375" customWidth="1"/>
    <col min="10733" max="10733" width="6.21875" customWidth="1"/>
    <col min="10734" max="10734" width="0.77734375" customWidth="1"/>
    <col min="10735" max="10735" width="4.5546875" customWidth="1"/>
    <col min="10736" max="10736" width="6.21875" customWidth="1"/>
    <col min="10737" max="10737" width="0.77734375" customWidth="1"/>
    <col min="10738" max="10738" width="3.5546875" customWidth="1"/>
    <col min="10739" max="10739" width="3" customWidth="1"/>
    <col min="10740" max="10740" width="6.5546875" customWidth="1"/>
    <col min="10741" max="10741" width="1" customWidth="1"/>
    <col min="10742" max="10742" width="6.77734375" customWidth="1"/>
    <col min="10743" max="10743" width="8.44140625" customWidth="1"/>
    <col min="10744" max="10744" width="9.44140625" bestFit="1" customWidth="1"/>
    <col min="10745" max="10745" width="0.77734375" customWidth="1"/>
    <col min="10746" max="10746" width="5.5546875" customWidth="1"/>
    <col min="10747" max="10747" width="6" customWidth="1"/>
    <col min="10748" max="10748" width="0.77734375" customWidth="1"/>
    <col min="10749" max="10749" width="3.5546875" customWidth="1"/>
    <col min="10750" max="10750" width="3.21875" customWidth="1"/>
    <col min="10751" max="10753" width="3" customWidth="1"/>
    <col min="10754" max="10754" width="7" customWidth="1"/>
    <col min="10755" max="10755" width="0.77734375" customWidth="1"/>
    <col min="10756" max="10756" width="5.44140625" customWidth="1"/>
    <col min="10757" max="10757" width="6.21875" customWidth="1"/>
    <col min="10758" max="10758" width="5" customWidth="1"/>
    <col min="10759" max="10762" width="0" hidden="1" customWidth="1"/>
    <col min="10763" max="10763" width="4.21875" customWidth="1"/>
    <col min="10764" max="10764" width="1" customWidth="1"/>
    <col min="10765" max="10765" width="2.77734375" customWidth="1"/>
    <col min="10766" max="10770" width="3" customWidth="1"/>
    <col min="10771" max="10771" width="3.44140625" customWidth="1"/>
    <col min="10772" max="10772" width="6.21875" customWidth="1"/>
    <col min="10773" max="10773" width="5.44140625" customWidth="1"/>
    <col min="10774" max="10774" width="5.21875" customWidth="1"/>
    <col min="10775" max="10775" width="41.77734375" customWidth="1"/>
    <col min="10776" max="10776" width="35" bestFit="1" customWidth="1"/>
    <col min="10970" max="10970" width="2.21875" customWidth="1"/>
    <col min="10971" max="10971" width="1.77734375" customWidth="1"/>
    <col min="10972" max="10972" width="9.77734375" customWidth="1"/>
    <col min="10973" max="10973" width="14.21875" customWidth="1"/>
    <col min="10974" max="10974" width="6.21875" customWidth="1"/>
    <col min="10975" max="10975" width="7.77734375" customWidth="1"/>
    <col min="10976" max="10976" width="7.21875" customWidth="1"/>
    <col min="10977" max="10977" width="3.5546875" customWidth="1"/>
    <col min="10978" max="10979" width="7.44140625" customWidth="1"/>
    <col min="10980" max="10980" width="6.21875" customWidth="1"/>
    <col min="10981" max="10981" width="9.77734375" customWidth="1"/>
    <col min="10982" max="10982" width="5.21875" customWidth="1"/>
    <col min="10983" max="10983" width="5.44140625" customWidth="1"/>
    <col min="10984" max="10984" width="5.21875" customWidth="1"/>
    <col min="10985" max="10985" width="5.77734375" customWidth="1"/>
    <col min="10986" max="10986" width="5.21875" customWidth="1"/>
    <col min="10987" max="10987" width="5.5546875" customWidth="1"/>
    <col min="10988" max="10988" width="6.77734375" customWidth="1"/>
    <col min="10989" max="10989" width="6.21875" customWidth="1"/>
    <col min="10990" max="10990" width="0.77734375" customWidth="1"/>
    <col min="10991" max="10991" width="4.5546875" customWidth="1"/>
    <col min="10992" max="10992" width="6.21875" customWidth="1"/>
    <col min="10993" max="10993" width="0.77734375" customWidth="1"/>
    <col min="10994" max="10994" width="3.5546875" customWidth="1"/>
    <col min="10995" max="10995" width="3" customWidth="1"/>
    <col min="10996" max="10996" width="6.5546875" customWidth="1"/>
    <col min="10997" max="10997" width="1" customWidth="1"/>
    <col min="10998" max="10998" width="6.77734375" customWidth="1"/>
    <col min="10999" max="10999" width="8.44140625" customWidth="1"/>
    <col min="11000" max="11000" width="9.44140625" bestFit="1" customWidth="1"/>
    <col min="11001" max="11001" width="0.77734375" customWidth="1"/>
    <col min="11002" max="11002" width="5.5546875" customWidth="1"/>
    <col min="11003" max="11003" width="6" customWidth="1"/>
    <col min="11004" max="11004" width="0.77734375" customWidth="1"/>
    <col min="11005" max="11005" width="3.5546875" customWidth="1"/>
    <col min="11006" max="11006" width="3.21875" customWidth="1"/>
    <col min="11007" max="11009" width="3" customWidth="1"/>
    <col min="11010" max="11010" width="7" customWidth="1"/>
    <col min="11011" max="11011" width="0.77734375" customWidth="1"/>
    <col min="11012" max="11012" width="5.44140625" customWidth="1"/>
    <col min="11013" max="11013" width="6.21875" customWidth="1"/>
    <col min="11014" max="11014" width="5" customWidth="1"/>
    <col min="11015" max="11018" width="0" hidden="1" customWidth="1"/>
    <col min="11019" max="11019" width="4.21875" customWidth="1"/>
    <col min="11020" max="11020" width="1" customWidth="1"/>
    <col min="11021" max="11021" width="2.77734375" customWidth="1"/>
    <col min="11022" max="11026" width="3" customWidth="1"/>
    <col min="11027" max="11027" width="3.44140625" customWidth="1"/>
    <col min="11028" max="11028" width="6.21875" customWidth="1"/>
    <col min="11029" max="11029" width="5.44140625" customWidth="1"/>
    <col min="11030" max="11030" width="5.21875" customWidth="1"/>
    <col min="11031" max="11031" width="41.77734375" customWidth="1"/>
    <col min="11032" max="11032" width="35" bestFit="1" customWidth="1"/>
    <col min="11226" max="11226" width="2.21875" customWidth="1"/>
    <col min="11227" max="11227" width="1.77734375" customWidth="1"/>
    <col min="11228" max="11228" width="9.77734375" customWidth="1"/>
    <col min="11229" max="11229" width="14.21875" customWidth="1"/>
    <col min="11230" max="11230" width="6.21875" customWidth="1"/>
    <col min="11231" max="11231" width="7.77734375" customWidth="1"/>
    <col min="11232" max="11232" width="7.21875" customWidth="1"/>
    <col min="11233" max="11233" width="3.5546875" customWidth="1"/>
    <col min="11234" max="11235" width="7.44140625" customWidth="1"/>
    <col min="11236" max="11236" width="6.21875" customWidth="1"/>
    <col min="11237" max="11237" width="9.77734375" customWidth="1"/>
    <col min="11238" max="11238" width="5.21875" customWidth="1"/>
    <col min="11239" max="11239" width="5.44140625" customWidth="1"/>
    <col min="11240" max="11240" width="5.21875" customWidth="1"/>
    <col min="11241" max="11241" width="5.77734375" customWidth="1"/>
    <col min="11242" max="11242" width="5.21875" customWidth="1"/>
    <col min="11243" max="11243" width="5.5546875" customWidth="1"/>
    <col min="11244" max="11244" width="6.77734375" customWidth="1"/>
    <col min="11245" max="11245" width="6.21875" customWidth="1"/>
    <col min="11246" max="11246" width="0.77734375" customWidth="1"/>
    <col min="11247" max="11247" width="4.5546875" customWidth="1"/>
    <col min="11248" max="11248" width="6.21875" customWidth="1"/>
    <col min="11249" max="11249" width="0.77734375" customWidth="1"/>
    <col min="11250" max="11250" width="3.5546875" customWidth="1"/>
    <col min="11251" max="11251" width="3" customWidth="1"/>
    <col min="11252" max="11252" width="6.5546875" customWidth="1"/>
    <col min="11253" max="11253" width="1" customWidth="1"/>
    <col min="11254" max="11254" width="6.77734375" customWidth="1"/>
    <col min="11255" max="11255" width="8.44140625" customWidth="1"/>
    <col min="11256" max="11256" width="9.44140625" bestFit="1" customWidth="1"/>
    <col min="11257" max="11257" width="0.77734375" customWidth="1"/>
    <col min="11258" max="11258" width="5.5546875" customWidth="1"/>
    <col min="11259" max="11259" width="6" customWidth="1"/>
    <col min="11260" max="11260" width="0.77734375" customWidth="1"/>
    <col min="11261" max="11261" width="3.5546875" customWidth="1"/>
    <col min="11262" max="11262" width="3.21875" customWidth="1"/>
    <col min="11263" max="11265" width="3" customWidth="1"/>
    <col min="11266" max="11266" width="7" customWidth="1"/>
    <col min="11267" max="11267" width="0.77734375" customWidth="1"/>
    <col min="11268" max="11268" width="5.44140625" customWidth="1"/>
    <col min="11269" max="11269" width="6.21875" customWidth="1"/>
    <col min="11270" max="11270" width="5" customWidth="1"/>
    <col min="11271" max="11274" width="0" hidden="1" customWidth="1"/>
    <col min="11275" max="11275" width="4.21875" customWidth="1"/>
    <col min="11276" max="11276" width="1" customWidth="1"/>
    <col min="11277" max="11277" width="2.77734375" customWidth="1"/>
    <col min="11278" max="11282" width="3" customWidth="1"/>
    <col min="11283" max="11283" width="3.44140625" customWidth="1"/>
    <col min="11284" max="11284" width="6.21875" customWidth="1"/>
    <col min="11285" max="11285" width="5.44140625" customWidth="1"/>
    <col min="11286" max="11286" width="5.21875" customWidth="1"/>
    <col min="11287" max="11287" width="41.77734375" customWidth="1"/>
    <col min="11288" max="11288" width="35" bestFit="1" customWidth="1"/>
    <col min="11482" max="11482" width="2.21875" customWidth="1"/>
    <col min="11483" max="11483" width="1.77734375" customWidth="1"/>
    <col min="11484" max="11484" width="9.77734375" customWidth="1"/>
    <col min="11485" max="11485" width="14.21875" customWidth="1"/>
    <col min="11486" max="11486" width="6.21875" customWidth="1"/>
    <col min="11487" max="11487" width="7.77734375" customWidth="1"/>
    <col min="11488" max="11488" width="7.21875" customWidth="1"/>
    <col min="11489" max="11489" width="3.5546875" customWidth="1"/>
    <col min="11490" max="11491" width="7.44140625" customWidth="1"/>
    <col min="11492" max="11492" width="6.21875" customWidth="1"/>
    <col min="11493" max="11493" width="9.77734375" customWidth="1"/>
    <col min="11494" max="11494" width="5.21875" customWidth="1"/>
    <col min="11495" max="11495" width="5.44140625" customWidth="1"/>
    <col min="11496" max="11496" width="5.21875" customWidth="1"/>
    <col min="11497" max="11497" width="5.77734375" customWidth="1"/>
    <col min="11498" max="11498" width="5.21875" customWidth="1"/>
    <col min="11499" max="11499" width="5.5546875" customWidth="1"/>
    <col min="11500" max="11500" width="6.77734375" customWidth="1"/>
    <col min="11501" max="11501" width="6.21875" customWidth="1"/>
    <col min="11502" max="11502" width="0.77734375" customWidth="1"/>
    <col min="11503" max="11503" width="4.5546875" customWidth="1"/>
    <col min="11504" max="11504" width="6.21875" customWidth="1"/>
    <col min="11505" max="11505" width="0.77734375" customWidth="1"/>
    <col min="11506" max="11506" width="3.5546875" customWidth="1"/>
    <col min="11507" max="11507" width="3" customWidth="1"/>
    <col min="11508" max="11508" width="6.5546875" customWidth="1"/>
    <col min="11509" max="11509" width="1" customWidth="1"/>
    <col min="11510" max="11510" width="6.77734375" customWidth="1"/>
    <col min="11511" max="11511" width="8.44140625" customWidth="1"/>
    <col min="11512" max="11512" width="9.44140625" bestFit="1" customWidth="1"/>
    <col min="11513" max="11513" width="0.77734375" customWidth="1"/>
    <col min="11514" max="11514" width="5.5546875" customWidth="1"/>
    <col min="11515" max="11515" width="6" customWidth="1"/>
    <col min="11516" max="11516" width="0.77734375" customWidth="1"/>
    <col min="11517" max="11517" width="3.5546875" customWidth="1"/>
    <col min="11518" max="11518" width="3.21875" customWidth="1"/>
    <col min="11519" max="11521" width="3" customWidth="1"/>
    <col min="11522" max="11522" width="7" customWidth="1"/>
    <col min="11523" max="11523" width="0.77734375" customWidth="1"/>
    <col min="11524" max="11524" width="5.44140625" customWidth="1"/>
    <col min="11525" max="11525" width="6.21875" customWidth="1"/>
    <col min="11526" max="11526" width="5" customWidth="1"/>
    <col min="11527" max="11530" width="0" hidden="1" customWidth="1"/>
    <col min="11531" max="11531" width="4.21875" customWidth="1"/>
    <col min="11532" max="11532" width="1" customWidth="1"/>
    <col min="11533" max="11533" width="2.77734375" customWidth="1"/>
    <col min="11534" max="11538" width="3" customWidth="1"/>
    <col min="11539" max="11539" width="3.44140625" customWidth="1"/>
    <col min="11540" max="11540" width="6.21875" customWidth="1"/>
    <col min="11541" max="11541" width="5.44140625" customWidth="1"/>
    <col min="11542" max="11542" width="5.21875" customWidth="1"/>
    <col min="11543" max="11543" width="41.77734375" customWidth="1"/>
    <col min="11544" max="11544" width="35" bestFit="1" customWidth="1"/>
    <col min="11738" max="11738" width="2.21875" customWidth="1"/>
    <col min="11739" max="11739" width="1.77734375" customWidth="1"/>
    <col min="11740" max="11740" width="9.77734375" customWidth="1"/>
    <col min="11741" max="11741" width="14.21875" customWidth="1"/>
    <col min="11742" max="11742" width="6.21875" customWidth="1"/>
    <col min="11743" max="11743" width="7.77734375" customWidth="1"/>
    <col min="11744" max="11744" width="7.21875" customWidth="1"/>
    <col min="11745" max="11745" width="3.5546875" customWidth="1"/>
    <col min="11746" max="11747" width="7.44140625" customWidth="1"/>
    <col min="11748" max="11748" width="6.21875" customWidth="1"/>
    <col min="11749" max="11749" width="9.77734375" customWidth="1"/>
    <col min="11750" max="11750" width="5.21875" customWidth="1"/>
    <col min="11751" max="11751" width="5.44140625" customWidth="1"/>
    <col min="11752" max="11752" width="5.21875" customWidth="1"/>
    <col min="11753" max="11753" width="5.77734375" customWidth="1"/>
    <col min="11754" max="11754" width="5.21875" customWidth="1"/>
    <col min="11755" max="11755" width="5.5546875" customWidth="1"/>
    <col min="11756" max="11756" width="6.77734375" customWidth="1"/>
    <col min="11757" max="11757" width="6.21875" customWidth="1"/>
    <col min="11758" max="11758" width="0.77734375" customWidth="1"/>
    <col min="11759" max="11759" width="4.5546875" customWidth="1"/>
    <col min="11760" max="11760" width="6.21875" customWidth="1"/>
    <col min="11761" max="11761" width="0.77734375" customWidth="1"/>
    <col min="11762" max="11762" width="3.5546875" customWidth="1"/>
    <col min="11763" max="11763" width="3" customWidth="1"/>
    <col min="11764" max="11764" width="6.5546875" customWidth="1"/>
    <col min="11765" max="11765" width="1" customWidth="1"/>
    <col min="11766" max="11766" width="6.77734375" customWidth="1"/>
    <col min="11767" max="11767" width="8.44140625" customWidth="1"/>
    <col min="11768" max="11768" width="9.44140625" bestFit="1" customWidth="1"/>
    <col min="11769" max="11769" width="0.77734375" customWidth="1"/>
    <col min="11770" max="11770" width="5.5546875" customWidth="1"/>
    <col min="11771" max="11771" width="6" customWidth="1"/>
    <col min="11772" max="11772" width="0.77734375" customWidth="1"/>
    <col min="11773" max="11773" width="3.5546875" customWidth="1"/>
    <col min="11774" max="11774" width="3.21875" customWidth="1"/>
    <col min="11775" max="11777" width="3" customWidth="1"/>
    <col min="11778" max="11778" width="7" customWidth="1"/>
    <col min="11779" max="11779" width="0.77734375" customWidth="1"/>
    <col min="11780" max="11780" width="5.44140625" customWidth="1"/>
    <col min="11781" max="11781" width="6.21875" customWidth="1"/>
    <col min="11782" max="11782" width="5" customWidth="1"/>
    <col min="11783" max="11786" width="0" hidden="1" customWidth="1"/>
    <col min="11787" max="11787" width="4.21875" customWidth="1"/>
    <col min="11788" max="11788" width="1" customWidth="1"/>
    <col min="11789" max="11789" width="2.77734375" customWidth="1"/>
    <col min="11790" max="11794" width="3" customWidth="1"/>
    <col min="11795" max="11795" width="3.44140625" customWidth="1"/>
    <col min="11796" max="11796" width="6.21875" customWidth="1"/>
    <col min="11797" max="11797" width="5.44140625" customWidth="1"/>
    <col min="11798" max="11798" width="5.21875" customWidth="1"/>
    <col min="11799" max="11799" width="41.77734375" customWidth="1"/>
    <col min="11800" max="11800" width="35" bestFit="1" customWidth="1"/>
    <col min="11994" max="11994" width="2.21875" customWidth="1"/>
    <col min="11995" max="11995" width="1.77734375" customWidth="1"/>
    <col min="11996" max="11996" width="9.77734375" customWidth="1"/>
    <col min="11997" max="11997" width="14.21875" customWidth="1"/>
    <col min="11998" max="11998" width="6.21875" customWidth="1"/>
    <col min="11999" max="11999" width="7.77734375" customWidth="1"/>
    <col min="12000" max="12000" width="7.21875" customWidth="1"/>
    <col min="12001" max="12001" width="3.5546875" customWidth="1"/>
    <col min="12002" max="12003" width="7.44140625" customWidth="1"/>
    <col min="12004" max="12004" width="6.21875" customWidth="1"/>
    <col min="12005" max="12005" width="9.77734375" customWidth="1"/>
    <col min="12006" max="12006" width="5.21875" customWidth="1"/>
    <col min="12007" max="12007" width="5.44140625" customWidth="1"/>
    <col min="12008" max="12008" width="5.21875" customWidth="1"/>
    <col min="12009" max="12009" width="5.77734375" customWidth="1"/>
    <col min="12010" max="12010" width="5.21875" customWidth="1"/>
    <col min="12011" max="12011" width="5.5546875" customWidth="1"/>
    <col min="12012" max="12012" width="6.77734375" customWidth="1"/>
    <col min="12013" max="12013" width="6.21875" customWidth="1"/>
    <col min="12014" max="12014" width="0.77734375" customWidth="1"/>
    <col min="12015" max="12015" width="4.5546875" customWidth="1"/>
    <col min="12016" max="12016" width="6.21875" customWidth="1"/>
    <col min="12017" max="12017" width="0.77734375" customWidth="1"/>
    <col min="12018" max="12018" width="3.5546875" customWidth="1"/>
    <col min="12019" max="12019" width="3" customWidth="1"/>
    <col min="12020" max="12020" width="6.5546875" customWidth="1"/>
    <col min="12021" max="12021" width="1" customWidth="1"/>
    <col min="12022" max="12022" width="6.77734375" customWidth="1"/>
    <col min="12023" max="12023" width="8.44140625" customWidth="1"/>
    <col min="12024" max="12024" width="9.44140625" bestFit="1" customWidth="1"/>
    <col min="12025" max="12025" width="0.77734375" customWidth="1"/>
    <col min="12026" max="12026" width="5.5546875" customWidth="1"/>
    <col min="12027" max="12027" width="6" customWidth="1"/>
    <col min="12028" max="12028" width="0.77734375" customWidth="1"/>
    <col min="12029" max="12029" width="3.5546875" customWidth="1"/>
    <col min="12030" max="12030" width="3.21875" customWidth="1"/>
    <col min="12031" max="12033" width="3" customWidth="1"/>
    <col min="12034" max="12034" width="7" customWidth="1"/>
    <col min="12035" max="12035" width="0.77734375" customWidth="1"/>
    <col min="12036" max="12036" width="5.44140625" customWidth="1"/>
    <col min="12037" max="12037" width="6.21875" customWidth="1"/>
    <col min="12038" max="12038" width="5" customWidth="1"/>
    <col min="12039" max="12042" width="0" hidden="1" customWidth="1"/>
    <col min="12043" max="12043" width="4.21875" customWidth="1"/>
    <col min="12044" max="12044" width="1" customWidth="1"/>
    <col min="12045" max="12045" width="2.77734375" customWidth="1"/>
    <col min="12046" max="12050" width="3" customWidth="1"/>
    <col min="12051" max="12051" width="3.44140625" customWidth="1"/>
    <col min="12052" max="12052" width="6.21875" customWidth="1"/>
    <col min="12053" max="12053" width="5.44140625" customWidth="1"/>
    <col min="12054" max="12054" width="5.21875" customWidth="1"/>
    <col min="12055" max="12055" width="41.77734375" customWidth="1"/>
    <col min="12056" max="12056" width="35" bestFit="1" customWidth="1"/>
    <col min="12250" max="12250" width="2.21875" customWidth="1"/>
    <col min="12251" max="12251" width="1.77734375" customWidth="1"/>
    <col min="12252" max="12252" width="9.77734375" customWidth="1"/>
    <col min="12253" max="12253" width="14.21875" customWidth="1"/>
    <col min="12254" max="12254" width="6.21875" customWidth="1"/>
    <col min="12255" max="12255" width="7.77734375" customWidth="1"/>
    <col min="12256" max="12256" width="7.21875" customWidth="1"/>
    <col min="12257" max="12257" width="3.5546875" customWidth="1"/>
    <col min="12258" max="12259" width="7.44140625" customWidth="1"/>
    <col min="12260" max="12260" width="6.21875" customWidth="1"/>
    <col min="12261" max="12261" width="9.77734375" customWidth="1"/>
    <col min="12262" max="12262" width="5.21875" customWidth="1"/>
    <col min="12263" max="12263" width="5.44140625" customWidth="1"/>
    <col min="12264" max="12264" width="5.21875" customWidth="1"/>
    <col min="12265" max="12265" width="5.77734375" customWidth="1"/>
    <col min="12266" max="12266" width="5.21875" customWidth="1"/>
    <col min="12267" max="12267" width="5.5546875" customWidth="1"/>
    <col min="12268" max="12268" width="6.77734375" customWidth="1"/>
    <col min="12269" max="12269" width="6.21875" customWidth="1"/>
    <col min="12270" max="12270" width="0.77734375" customWidth="1"/>
    <col min="12271" max="12271" width="4.5546875" customWidth="1"/>
    <col min="12272" max="12272" width="6.21875" customWidth="1"/>
    <col min="12273" max="12273" width="0.77734375" customWidth="1"/>
    <col min="12274" max="12274" width="3.5546875" customWidth="1"/>
    <col min="12275" max="12275" width="3" customWidth="1"/>
    <col min="12276" max="12276" width="6.5546875" customWidth="1"/>
    <col min="12277" max="12277" width="1" customWidth="1"/>
    <col min="12278" max="12278" width="6.77734375" customWidth="1"/>
    <col min="12279" max="12279" width="8.44140625" customWidth="1"/>
    <col min="12280" max="12280" width="9.44140625" bestFit="1" customWidth="1"/>
    <col min="12281" max="12281" width="0.77734375" customWidth="1"/>
    <col min="12282" max="12282" width="5.5546875" customWidth="1"/>
    <col min="12283" max="12283" width="6" customWidth="1"/>
    <col min="12284" max="12284" width="0.77734375" customWidth="1"/>
    <col min="12285" max="12285" width="3.5546875" customWidth="1"/>
    <col min="12286" max="12286" width="3.21875" customWidth="1"/>
    <col min="12287" max="12289" width="3" customWidth="1"/>
    <col min="12290" max="12290" width="7" customWidth="1"/>
    <col min="12291" max="12291" width="0.77734375" customWidth="1"/>
    <col min="12292" max="12292" width="5.44140625" customWidth="1"/>
    <col min="12293" max="12293" width="6.21875" customWidth="1"/>
    <col min="12294" max="12294" width="5" customWidth="1"/>
    <col min="12295" max="12298" width="0" hidden="1" customWidth="1"/>
    <col min="12299" max="12299" width="4.21875" customWidth="1"/>
    <col min="12300" max="12300" width="1" customWidth="1"/>
    <col min="12301" max="12301" width="2.77734375" customWidth="1"/>
    <col min="12302" max="12306" width="3" customWidth="1"/>
    <col min="12307" max="12307" width="3.44140625" customWidth="1"/>
    <col min="12308" max="12308" width="6.21875" customWidth="1"/>
    <col min="12309" max="12309" width="5.44140625" customWidth="1"/>
    <col min="12310" max="12310" width="5.21875" customWidth="1"/>
    <col min="12311" max="12311" width="41.77734375" customWidth="1"/>
    <col min="12312" max="12312" width="35" bestFit="1" customWidth="1"/>
    <col min="12506" max="12506" width="2.21875" customWidth="1"/>
    <col min="12507" max="12507" width="1.77734375" customWidth="1"/>
    <col min="12508" max="12508" width="9.77734375" customWidth="1"/>
    <col min="12509" max="12509" width="14.21875" customWidth="1"/>
    <col min="12510" max="12510" width="6.21875" customWidth="1"/>
    <col min="12511" max="12511" width="7.77734375" customWidth="1"/>
    <col min="12512" max="12512" width="7.21875" customWidth="1"/>
    <col min="12513" max="12513" width="3.5546875" customWidth="1"/>
    <col min="12514" max="12515" width="7.44140625" customWidth="1"/>
    <col min="12516" max="12516" width="6.21875" customWidth="1"/>
    <col min="12517" max="12517" width="9.77734375" customWidth="1"/>
    <col min="12518" max="12518" width="5.21875" customWidth="1"/>
    <col min="12519" max="12519" width="5.44140625" customWidth="1"/>
    <col min="12520" max="12520" width="5.21875" customWidth="1"/>
    <col min="12521" max="12521" width="5.77734375" customWidth="1"/>
    <col min="12522" max="12522" width="5.21875" customWidth="1"/>
    <col min="12523" max="12523" width="5.5546875" customWidth="1"/>
    <col min="12524" max="12524" width="6.77734375" customWidth="1"/>
    <col min="12525" max="12525" width="6.21875" customWidth="1"/>
    <col min="12526" max="12526" width="0.77734375" customWidth="1"/>
    <col min="12527" max="12527" width="4.5546875" customWidth="1"/>
    <col min="12528" max="12528" width="6.21875" customWidth="1"/>
    <col min="12529" max="12529" width="0.77734375" customWidth="1"/>
    <col min="12530" max="12530" width="3.5546875" customWidth="1"/>
    <col min="12531" max="12531" width="3" customWidth="1"/>
    <col min="12532" max="12532" width="6.5546875" customWidth="1"/>
    <col min="12533" max="12533" width="1" customWidth="1"/>
    <col min="12534" max="12534" width="6.77734375" customWidth="1"/>
    <col min="12535" max="12535" width="8.44140625" customWidth="1"/>
    <col min="12536" max="12536" width="9.44140625" bestFit="1" customWidth="1"/>
    <col min="12537" max="12537" width="0.77734375" customWidth="1"/>
    <col min="12538" max="12538" width="5.5546875" customWidth="1"/>
    <col min="12539" max="12539" width="6" customWidth="1"/>
    <col min="12540" max="12540" width="0.77734375" customWidth="1"/>
    <col min="12541" max="12541" width="3.5546875" customWidth="1"/>
    <col min="12542" max="12542" width="3.21875" customWidth="1"/>
    <col min="12543" max="12545" width="3" customWidth="1"/>
    <col min="12546" max="12546" width="7" customWidth="1"/>
    <col min="12547" max="12547" width="0.77734375" customWidth="1"/>
    <col min="12548" max="12548" width="5.44140625" customWidth="1"/>
    <col min="12549" max="12549" width="6.21875" customWidth="1"/>
    <col min="12550" max="12550" width="5" customWidth="1"/>
    <col min="12551" max="12554" width="0" hidden="1" customWidth="1"/>
    <col min="12555" max="12555" width="4.21875" customWidth="1"/>
    <col min="12556" max="12556" width="1" customWidth="1"/>
    <col min="12557" max="12557" width="2.77734375" customWidth="1"/>
    <col min="12558" max="12562" width="3" customWidth="1"/>
    <col min="12563" max="12563" width="3.44140625" customWidth="1"/>
    <col min="12564" max="12564" width="6.21875" customWidth="1"/>
    <col min="12565" max="12565" width="5.44140625" customWidth="1"/>
    <col min="12566" max="12566" width="5.21875" customWidth="1"/>
    <col min="12567" max="12567" width="41.77734375" customWidth="1"/>
    <col min="12568" max="12568" width="35" bestFit="1" customWidth="1"/>
    <col min="12762" max="12762" width="2.21875" customWidth="1"/>
    <col min="12763" max="12763" width="1.77734375" customWidth="1"/>
    <col min="12764" max="12764" width="9.77734375" customWidth="1"/>
    <col min="12765" max="12765" width="14.21875" customWidth="1"/>
    <col min="12766" max="12766" width="6.21875" customWidth="1"/>
    <col min="12767" max="12767" width="7.77734375" customWidth="1"/>
    <col min="12768" max="12768" width="7.21875" customWidth="1"/>
    <col min="12769" max="12769" width="3.5546875" customWidth="1"/>
    <col min="12770" max="12771" width="7.44140625" customWidth="1"/>
    <col min="12772" max="12772" width="6.21875" customWidth="1"/>
    <col min="12773" max="12773" width="9.77734375" customWidth="1"/>
    <col min="12774" max="12774" width="5.21875" customWidth="1"/>
    <col min="12775" max="12775" width="5.44140625" customWidth="1"/>
    <col min="12776" max="12776" width="5.21875" customWidth="1"/>
    <col min="12777" max="12777" width="5.77734375" customWidth="1"/>
    <col min="12778" max="12778" width="5.21875" customWidth="1"/>
    <col min="12779" max="12779" width="5.5546875" customWidth="1"/>
    <col min="12780" max="12780" width="6.77734375" customWidth="1"/>
    <col min="12781" max="12781" width="6.21875" customWidth="1"/>
    <col min="12782" max="12782" width="0.77734375" customWidth="1"/>
    <col min="12783" max="12783" width="4.5546875" customWidth="1"/>
    <col min="12784" max="12784" width="6.21875" customWidth="1"/>
    <col min="12785" max="12785" width="0.77734375" customWidth="1"/>
    <col min="12786" max="12786" width="3.5546875" customWidth="1"/>
    <col min="12787" max="12787" width="3" customWidth="1"/>
    <col min="12788" max="12788" width="6.5546875" customWidth="1"/>
    <col min="12789" max="12789" width="1" customWidth="1"/>
    <col min="12790" max="12790" width="6.77734375" customWidth="1"/>
    <col min="12791" max="12791" width="8.44140625" customWidth="1"/>
    <col min="12792" max="12792" width="9.44140625" bestFit="1" customWidth="1"/>
    <col min="12793" max="12793" width="0.77734375" customWidth="1"/>
    <col min="12794" max="12794" width="5.5546875" customWidth="1"/>
    <col min="12795" max="12795" width="6" customWidth="1"/>
    <col min="12796" max="12796" width="0.77734375" customWidth="1"/>
    <col min="12797" max="12797" width="3.5546875" customWidth="1"/>
    <col min="12798" max="12798" width="3.21875" customWidth="1"/>
    <col min="12799" max="12801" width="3" customWidth="1"/>
    <col min="12802" max="12802" width="7" customWidth="1"/>
    <col min="12803" max="12803" width="0.77734375" customWidth="1"/>
    <col min="12804" max="12804" width="5.44140625" customWidth="1"/>
    <col min="12805" max="12805" width="6.21875" customWidth="1"/>
    <col min="12806" max="12806" width="5" customWidth="1"/>
    <col min="12807" max="12810" width="0" hidden="1" customWidth="1"/>
    <col min="12811" max="12811" width="4.21875" customWidth="1"/>
    <col min="12812" max="12812" width="1" customWidth="1"/>
    <col min="12813" max="12813" width="2.77734375" customWidth="1"/>
    <col min="12814" max="12818" width="3" customWidth="1"/>
    <col min="12819" max="12819" width="3.44140625" customWidth="1"/>
    <col min="12820" max="12820" width="6.21875" customWidth="1"/>
    <col min="12821" max="12821" width="5.44140625" customWidth="1"/>
    <col min="12822" max="12822" width="5.21875" customWidth="1"/>
    <col min="12823" max="12823" width="41.77734375" customWidth="1"/>
    <col min="12824" max="12824" width="35" bestFit="1" customWidth="1"/>
    <col min="13018" max="13018" width="2.21875" customWidth="1"/>
    <col min="13019" max="13019" width="1.77734375" customWidth="1"/>
    <col min="13020" max="13020" width="9.77734375" customWidth="1"/>
    <col min="13021" max="13021" width="14.21875" customWidth="1"/>
    <col min="13022" max="13022" width="6.21875" customWidth="1"/>
    <col min="13023" max="13023" width="7.77734375" customWidth="1"/>
    <col min="13024" max="13024" width="7.21875" customWidth="1"/>
    <col min="13025" max="13025" width="3.5546875" customWidth="1"/>
    <col min="13026" max="13027" width="7.44140625" customWidth="1"/>
    <col min="13028" max="13028" width="6.21875" customWidth="1"/>
    <col min="13029" max="13029" width="9.77734375" customWidth="1"/>
    <col min="13030" max="13030" width="5.21875" customWidth="1"/>
    <col min="13031" max="13031" width="5.44140625" customWidth="1"/>
    <col min="13032" max="13032" width="5.21875" customWidth="1"/>
    <col min="13033" max="13033" width="5.77734375" customWidth="1"/>
    <col min="13034" max="13034" width="5.21875" customWidth="1"/>
    <col min="13035" max="13035" width="5.5546875" customWidth="1"/>
    <col min="13036" max="13036" width="6.77734375" customWidth="1"/>
    <col min="13037" max="13037" width="6.21875" customWidth="1"/>
    <col min="13038" max="13038" width="0.77734375" customWidth="1"/>
    <col min="13039" max="13039" width="4.5546875" customWidth="1"/>
    <col min="13040" max="13040" width="6.21875" customWidth="1"/>
    <col min="13041" max="13041" width="0.77734375" customWidth="1"/>
    <col min="13042" max="13042" width="3.5546875" customWidth="1"/>
    <col min="13043" max="13043" width="3" customWidth="1"/>
    <col min="13044" max="13044" width="6.5546875" customWidth="1"/>
    <col min="13045" max="13045" width="1" customWidth="1"/>
    <col min="13046" max="13046" width="6.77734375" customWidth="1"/>
    <col min="13047" max="13047" width="8.44140625" customWidth="1"/>
    <col min="13048" max="13048" width="9.44140625" bestFit="1" customWidth="1"/>
    <col min="13049" max="13049" width="0.77734375" customWidth="1"/>
    <col min="13050" max="13050" width="5.5546875" customWidth="1"/>
    <col min="13051" max="13051" width="6" customWidth="1"/>
    <col min="13052" max="13052" width="0.77734375" customWidth="1"/>
    <col min="13053" max="13053" width="3.5546875" customWidth="1"/>
    <col min="13054" max="13054" width="3.21875" customWidth="1"/>
    <col min="13055" max="13057" width="3" customWidth="1"/>
    <col min="13058" max="13058" width="7" customWidth="1"/>
    <col min="13059" max="13059" width="0.77734375" customWidth="1"/>
    <col min="13060" max="13060" width="5.44140625" customWidth="1"/>
    <col min="13061" max="13061" width="6.21875" customWidth="1"/>
    <col min="13062" max="13062" width="5" customWidth="1"/>
    <col min="13063" max="13066" width="0" hidden="1" customWidth="1"/>
    <col min="13067" max="13067" width="4.21875" customWidth="1"/>
    <col min="13068" max="13068" width="1" customWidth="1"/>
    <col min="13069" max="13069" width="2.77734375" customWidth="1"/>
    <col min="13070" max="13074" width="3" customWidth="1"/>
    <col min="13075" max="13075" width="3.44140625" customWidth="1"/>
    <col min="13076" max="13076" width="6.21875" customWidth="1"/>
    <col min="13077" max="13077" width="5.44140625" customWidth="1"/>
    <col min="13078" max="13078" width="5.21875" customWidth="1"/>
    <col min="13079" max="13079" width="41.77734375" customWidth="1"/>
    <col min="13080" max="13080" width="35" bestFit="1" customWidth="1"/>
    <col min="13274" max="13274" width="2.21875" customWidth="1"/>
    <col min="13275" max="13275" width="1.77734375" customWidth="1"/>
    <col min="13276" max="13276" width="9.77734375" customWidth="1"/>
    <col min="13277" max="13277" width="14.21875" customWidth="1"/>
    <col min="13278" max="13278" width="6.21875" customWidth="1"/>
    <col min="13279" max="13279" width="7.77734375" customWidth="1"/>
    <col min="13280" max="13280" width="7.21875" customWidth="1"/>
    <col min="13281" max="13281" width="3.5546875" customWidth="1"/>
    <col min="13282" max="13283" width="7.44140625" customWidth="1"/>
    <col min="13284" max="13284" width="6.21875" customWidth="1"/>
    <col min="13285" max="13285" width="9.77734375" customWidth="1"/>
    <col min="13286" max="13286" width="5.21875" customWidth="1"/>
    <col min="13287" max="13287" width="5.44140625" customWidth="1"/>
    <col min="13288" max="13288" width="5.21875" customWidth="1"/>
    <col min="13289" max="13289" width="5.77734375" customWidth="1"/>
    <col min="13290" max="13290" width="5.21875" customWidth="1"/>
    <col min="13291" max="13291" width="5.5546875" customWidth="1"/>
    <col min="13292" max="13292" width="6.77734375" customWidth="1"/>
    <col min="13293" max="13293" width="6.21875" customWidth="1"/>
    <col min="13294" max="13294" width="0.77734375" customWidth="1"/>
    <col min="13295" max="13295" width="4.5546875" customWidth="1"/>
    <col min="13296" max="13296" width="6.21875" customWidth="1"/>
    <col min="13297" max="13297" width="0.77734375" customWidth="1"/>
    <col min="13298" max="13298" width="3.5546875" customWidth="1"/>
    <col min="13299" max="13299" width="3" customWidth="1"/>
    <col min="13300" max="13300" width="6.5546875" customWidth="1"/>
    <col min="13301" max="13301" width="1" customWidth="1"/>
    <col min="13302" max="13302" width="6.77734375" customWidth="1"/>
    <col min="13303" max="13303" width="8.44140625" customWidth="1"/>
    <col min="13304" max="13304" width="9.44140625" bestFit="1" customWidth="1"/>
    <col min="13305" max="13305" width="0.77734375" customWidth="1"/>
    <col min="13306" max="13306" width="5.5546875" customWidth="1"/>
    <col min="13307" max="13307" width="6" customWidth="1"/>
    <col min="13308" max="13308" width="0.77734375" customWidth="1"/>
    <col min="13309" max="13309" width="3.5546875" customWidth="1"/>
    <col min="13310" max="13310" width="3.21875" customWidth="1"/>
    <col min="13311" max="13313" width="3" customWidth="1"/>
    <col min="13314" max="13314" width="7" customWidth="1"/>
    <col min="13315" max="13315" width="0.77734375" customWidth="1"/>
    <col min="13316" max="13316" width="5.44140625" customWidth="1"/>
    <col min="13317" max="13317" width="6.21875" customWidth="1"/>
    <col min="13318" max="13318" width="5" customWidth="1"/>
    <col min="13319" max="13322" width="0" hidden="1" customWidth="1"/>
    <col min="13323" max="13323" width="4.21875" customWidth="1"/>
    <col min="13324" max="13324" width="1" customWidth="1"/>
    <col min="13325" max="13325" width="2.77734375" customWidth="1"/>
    <col min="13326" max="13330" width="3" customWidth="1"/>
    <col min="13331" max="13331" width="3.44140625" customWidth="1"/>
    <col min="13332" max="13332" width="6.21875" customWidth="1"/>
    <col min="13333" max="13333" width="5.44140625" customWidth="1"/>
    <col min="13334" max="13334" width="5.21875" customWidth="1"/>
    <col min="13335" max="13335" width="41.77734375" customWidth="1"/>
    <col min="13336" max="13336" width="35" bestFit="1" customWidth="1"/>
    <col min="13530" max="13530" width="2.21875" customWidth="1"/>
    <col min="13531" max="13531" width="1.77734375" customWidth="1"/>
    <col min="13532" max="13532" width="9.77734375" customWidth="1"/>
    <col min="13533" max="13533" width="14.21875" customWidth="1"/>
    <col min="13534" max="13534" width="6.21875" customWidth="1"/>
    <col min="13535" max="13535" width="7.77734375" customWidth="1"/>
    <col min="13536" max="13536" width="7.21875" customWidth="1"/>
    <col min="13537" max="13537" width="3.5546875" customWidth="1"/>
    <col min="13538" max="13539" width="7.44140625" customWidth="1"/>
    <col min="13540" max="13540" width="6.21875" customWidth="1"/>
    <col min="13541" max="13541" width="9.77734375" customWidth="1"/>
    <col min="13542" max="13542" width="5.21875" customWidth="1"/>
    <col min="13543" max="13543" width="5.44140625" customWidth="1"/>
    <col min="13544" max="13544" width="5.21875" customWidth="1"/>
    <col min="13545" max="13545" width="5.77734375" customWidth="1"/>
    <col min="13546" max="13546" width="5.21875" customWidth="1"/>
    <col min="13547" max="13547" width="5.5546875" customWidth="1"/>
    <col min="13548" max="13548" width="6.77734375" customWidth="1"/>
    <col min="13549" max="13549" width="6.21875" customWidth="1"/>
    <col min="13550" max="13550" width="0.77734375" customWidth="1"/>
    <col min="13551" max="13551" width="4.5546875" customWidth="1"/>
    <col min="13552" max="13552" width="6.21875" customWidth="1"/>
    <col min="13553" max="13553" width="0.77734375" customWidth="1"/>
    <col min="13554" max="13554" width="3.5546875" customWidth="1"/>
    <col min="13555" max="13555" width="3" customWidth="1"/>
    <col min="13556" max="13556" width="6.5546875" customWidth="1"/>
    <col min="13557" max="13557" width="1" customWidth="1"/>
    <col min="13558" max="13558" width="6.77734375" customWidth="1"/>
    <col min="13559" max="13559" width="8.44140625" customWidth="1"/>
    <col min="13560" max="13560" width="9.44140625" bestFit="1" customWidth="1"/>
    <col min="13561" max="13561" width="0.77734375" customWidth="1"/>
    <col min="13562" max="13562" width="5.5546875" customWidth="1"/>
    <col min="13563" max="13563" width="6" customWidth="1"/>
    <col min="13564" max="13564" width="0.77734375" customWidth="1"/>
    <col min="13565" max="13565" width="3.5546875" customWidth="1"/>
    <col min="13566" max="13566" width="3.21875" customWidth="1"/>
    <col min="13567" max="13569" width="3" customWidth="1"/>
    <col min="13570" max="13570" width="7" customWidth="1"/>
    <col min="13571" max="13571" width="0.77734375" customWidth="1"/>
    <col min="13572" max="13572" width="5.44140625" customWidth="1"/>
    <col min="13573" max="13573" width="6.21875" customWidth="1"/>
    <col min="13574" max="13574" width="5" customWidth="1"/>
    <col min="13575" max="13578" width="0" hidden="1" customWidth="1"/>
    <col min="13579" max="13579" width="4.21875" customWidth="1"/>
    <col min="13580" max="13580" width="1" customWidth="1"/>
    <col min="13581" max="13581" width="2.77734375" customWidth="1"/>
    <col min="13582" max="13586" width="3" customWidth="1"/>
    <col min="13587" max="13587" width="3.44140625" customWidth="1"/>
    <col min="13588" max="13588" width="6.21875" customWidth="1"/>
    <col min="13589" max="13589" width="5.44140625" customWidth="1"/>
    <col min="13590" max="13590" width="5.21875" customWidth="1"/>
    <col min="13591" max="13591" width="41.77734375" customWidth="1"/>
    <col min="13592" max="13592" width="35" bestFit="1" customWidth="1"/>
    <col min="13786" max="13786" width="2.21875" customWidth="1"/>
    <col min="13787" max="13787" width="1.77734375" customWidth="1"/>
    <col min="13788" max="13788" width="9.77734375" customWidth="1"/>
    <col min="13789" max="13789" width="14.21875" customWidth="1"/>
    <col min="13790" max="13790" width="6.21875" customWidth="1"/>
    <col min="13791" max="13791" width="7.77734375" customWidth="1"/>
    <col min="13792" max="13792" width="7.21875" customWidth="1"/>
    <col min="13793" max="13793" width="3.5546875" customWidth="1"/>
    <col min="13794" max="13795" width="7.44140625" customWidth="1"/>
    <col min="13796" max="13796" width="6.21875" customWidth="1"/>
    <col min="13797" max="13797" width="9.77734375" customWidth="1"/>
    <col min="13798" max="13798" width="5.21875" customWidth="1"/>
    <col min="13799" max="13799" width="5.44140625" customWidth="1"/>
    <col min="13800" max="13800" width="5.21875" customWidth="1"/>
    <col min="13801" max="13801" width="5.77734375" customWidth="1"/>
    <col min="13802" max="13802" width="5.21875" customWidth="1"/>
    <col min="13803" max="13803" width="5.5546875" customWidth="1"/>
    <col min="13804" max="13804" width="6.77734375" customWidth="1"/>
    <col min="13805" max="13805" width="6.21875" customWidth="1"/>
    <col min="13806" max="13806" width="0.77734375" customWidth="1"/>
    <col min="13807" max="13807" width="4.5546875" customWidth="1"/>
    <col min="13808" max="13808" width="6.21875" customWidth="1"/>
    <col min="13809" max="13809" width="0.77734375" customWidth="1"/>
    <col min="13810" max="13810" width="3.5546875" customWidth="1"/>
    <col min="13811" max="13811" width="3" customWidth="1"/>
    <col min="13812" max="13812" width="6.5546875" customWidth="1"/>
    <col min="13813" max="13813" width="1" customWidth="1"/>
    <col min="13814" max="13814" width="6.77734375" customWidth="1"/>
    <col min="13815" max="13815" width="8.44140625" customWidth="1"/>
    <col min="13816" max="13816" width="9.44140625" bestFit="1" customWidth="1"/>
    <col min="13817" max="13817" width="0.77734375" customWidth="1"/>
    <col min="13818" max="13818" width="5.5546875" customWidth="1"/>
    <col min="13819" max="13819" width="6" customWidth="1"/>
    <col min="13820" max="13820" width="0.77734375" customWidth="1"/>
    <col min="13821" max="13821" width="3.5546875" customWidth="1"/>
    <col min="13822" max="13822" width="3.21875" customWidth="1"/>
    <col min="13823" max="13825" width="3" customWidth="1"/>
    <col min="13826" max="13826" width="7" customWidth="1"/>
    <col min="13827" max="13827" width="0.77734375" customWidth="1"/>
    <col min="13828" max="13828" width="5.44140625" customWidth="1"/>
    <col min="13829" max="13829" width="6.21875" customWidth="1"/>
    <col min="13830" max="13830" width="5" customWidth="1"/>
    <col min="13831" max="13834" width="0" hidden="1" customWidth="1"/>
    <col min="13835" max="13835" width="4.21875" customWidth="1"/>
    <col min="13836" max="13836" width="1" customWidth="1"/>
    <col min="13837" max="13837" width="2.77734375" customWidth="1"/>
    <col min="13838" max="13842" width="3" customWidth="1"/>
    <col min="13843" max="13843" width="3.44140625" customWidth="1"/>
    <col min="13844" max="13844" width="6.21875" customWidth="1"/>
    <col min="13845" max="13845" width="5.44140625" customWidth="1"/>
    <col min="13846" max="13846" width="5.21875" customWidth="1"/>
    <col min="13847" max="13847" width="41.77734375" customWidth="1"/>
    <col min="13848" max="13848" width="35" bestFit="1" customWidth="1"/>
    <col min="14042" max="14042" width="2.21875" customWidth="1"/>
    <col min="14043" max="14043" width="1.77734375" customWidth="1"/>
    <col min="14044" max="14044" width="9.77734375" customWidth="1"/>
    <col min="14045" max="14045" width="14.21875" customWidth="1"/>
    <col min="14046" max="14046" width="6.21875" customWidth="1"/>
    <col min="14047" max="14047" width="7.77734375" customWidth="1"/>
    <col min="14048" max="14048" width="7.21875" customWidth="1"/>
    <col min="14049" max="14049" width="3.5546875" customWidth="1"/>
    <col min="14050" max="14051" width="7.44140625" customWidth="1"/>
    <col min="14052" max="14052" width="6.21875" customWidth="1"/>
    <col min="14053" max="14053" width="9.77734375" customWidth="1"/>
    <col min="14054" max="14054" width="5.21875" customWidth="1"/>
    <col min="14055" max="14055" width="5.44140625" customWidth="1"/>
    <col min="14056" max="14056" width="5.21875" customWidth="1"/>
    <col min="14057" max="14057" width="5.77734375" customWidth="1"/>
    <col min="14058" max="14058" width="5.21875" customWidth="1"/>
    <col min="14059" max="14059" width="5.5546875" customWidth="1"/>
    <col min="14060" max="14060" width="6.77734375" customWidth="1"/>
    <col min="14061" max="14061" width="6.21875" customWidth="1"/>
    <col min="14062" max="14062" width="0.77734375" customWidth="1"/>
    <col min="14063" max="14063" width="4.5546875" customWidth="1"/>
    <col min="14064" max="14064" width="6.21875" customWidth="1"/>
    <col min="14065" max="14065" width="0.77734375" customWidth="1"/>
    <col min="14066" max="14066" width="3.5546875" customWidth="1"/>
    <col min="14067" max="14067" width="3" customWidth="1"/>
    <col min="14068" max="14068" width="6.5546875" customWidth="1"/>
    <col min="14069" max="14069" width="1" customWidth="1"/>
    <col min="14070" max="14070" width="6.77734375" customWidth="1"/>
    <col min="14071" max="14071" width="8.44140625" customWidth="1"/>
    <col min="14072" max="14072" width="9.44140625" bestFit="1" customWidth="1"/>
    <col min="14073" max="14073" width="0.77734375" customWidth="1"/>
    <col min="14074" max="14074" width="5.5546875" customWidth="1"/>
    <col min="14075" max="14075" width="6" customWidth="1"/>
    <col min="14076" max="14076" width="0.77734375" customWidth="1"/>
    <col min="14077" max="14077" width="3.5546875" customWidth="1"/>
    <col min="14078" max="14078" width="3.21875" customWidth="1"/>
    <col min="14079" max="14081" width="3" customWidth="1"/>
    <col min="14082" max="14082" width="7" customWidth="1"/>
    <col min="14083" max="14083" width="0.77734375" customWidth="1"/>
    <col min="14084" max="14084" width="5.44140625" customWidth="1"/>
    <col min="14085" max="14085" width="6.21875" customWidth="1"/>
    <col min="14086" max="14086" width="5" customWidth="1"/>
    <col min="14087" max="14090" width="0" hidden="1" customWidth="1"/>
    <col min="14091" max="14091" width="4.21875" customWidth="1"/>
    <col min="14092" max="14092" width="1" customWidth="1"/>
    <col min="14093" max="14093" width="2.77734375" customWidth="1"/>
    <col min="14094" max="14098" width="3" customWidth="1"/>
    <col min="14099" max="14099" width="3.44140625" customWidth="1"/>
    <col min="14100" max="14100" width="6.21875" customWidth="1"/>
    <col min="14101" max="14101" width="5.44140625" customWidth="1"/>
    <col min="14102" max="14102" width="5.21875" customWidth="1"/>
    <col min="14103" max="14103" width="41.77734375" customWidth="1"/>
    <col min="14104" max="14104" width="35" bestFit="1" customWidth="1"/>
    <col min="14298" max="14298" width="2.21875" customWidth="1"/>
    <col min="14299" max="14299" width="1.77734375" customWidth="1"/>
    <col min="14300" max="14300" width="9.77734375" customWidth="1"/>
    <col min="14301" max="14301" width="14.21875" customWidth="1"/>
    <col min="14302" max="14302" width="6.21875" customWidth="1"/>
    <col min="14303" max="14303" width="7.77734375" customWidth="1"/>
    <col min="14304" max="14304" width="7.21875" customWidth="1"/>
    <col min="14305" max="14305" width="3.5546875" customWidth="1"/>
    <col min="14306" max="14307" width="7.44140625" customWidth="1"/>
    <col min="14308" max="14308" width="6.21875" customWidth="1"/>
    <col min="14309" max="14309" width="9.77734375" customWidth="1"/>
    <col min="14310" max="14310" width="5.21875" customWidth="1"/>
    <col min="14311" max="14311" width="5.44140625" customWidth="1"/>
    <col min="14312" max="14312" width="5.21875" customWidth="1"/>
    <col min="14313" max="14313" width="5.77734375" customWidth="1"/>
    <col min="14314" max="14314" width="5.21875" customWidth="1"/>
    <col min="14315" max="14315" width="5.5546875" customWidth="1"/>
    <col min="14316" max="14316" width="6.77734375" customWidth="1"/>
    <col min="14317" max="14317" width="6.21875" customWidth="1"/>
    <col min="14318" max="14318" width="0.77734375" customWidth="1"/>
    <col min="14319" max="14319" width="4.5546875" customWidth="1"/>
    <col min="14320" max="14320" width="6.21875" customWidth="1"/>
    <col min="14321" max="14321" width="0.77734375" customWidth="1"/>
    <col min="14322" max="14322" width="3.5546875" customWidth="1"/>
    <col min="14323" max="14323" width="3" customWidth="1"/>
    <col min="14324" max="14324" width="6.5546875" customWidth="1"/>
    <col min="14325" max="14325" width="1" customWidth="1"/>
    <col min="14326" max="14326" width="6.77734375" customWidth="1"/>
    <col min="14327" max="14327" width="8.44140625" customWidth="1"/>
    <col min="14328" max="14328" width="9.44140625" bestFit="1" customWidth="1"/>
    <col min="14329" max="14329" width="0.77734375" customWidth="1"/>
    <col min="14330" max="14330" width="5.5546875" customWidth="1"/>
    <col min="14331" max="14331" width="6" customWidth="1"/>
    <col min="14332" max="14332" width="0.77734375" customWidth="1"/>
    <col min="14333" max="14333" width="3.5546875" customWidth="1"/>
    <col min="14334" max="14334" width="3.21875" customWidth="1"/>
    <col min="14335" max="14337" width="3" customWidth="1"/>
    <col min="14338" max="14338" width="7" customWidth="1"/>
    <col min="14339" max="14339" width="0.77734375" customWidth="1"/>
    <col min="14340" max="14340" width="5.44140625" customWidth="1"/>
    <col min="14341" max="14341" width="6.21875" customWidth="1"/>
    <col min="14342" max="14342" width="5" customWidth="1"/>
    <col min="14343" max="14346" width="0" hidden="1" customWidth="1"/>
    <col min="14347" max="14347" width="4.21875" customWidth="1"/>
    <col min="14348" max="14348" width="1" customWidth="1"/>
    <col min="14349" max="14349" width="2.77734375" customWidth="1"/>
    <col min="14350" max="14354" width="3" customWidth="1"/>
    <col min="14355" max="14355" width="3.44140625" customWidth="1"/>
    <col min="14356" max="14356" width="6.21875" customWidth="1"/>
    <col min="14357" max="14357" width="5.44140625" customWidth="1"/>
    <col min="14358" max="14358" width="5.21875" customWidth="1"/>
    <col min="14359" max="14359" width="41.77734375" customWidth="1"/>
    <col min="14360" max="14360" width="35" bestFit="1" customWidth="1"/>
    <col min="14554" max="14554" width="2.21875" customWidth="1"/>
    <col min="14555" max="14555" width="1.77734375" customWidth="1"/>
    <col min="14556" max="14556" width="9.77734375" customWidth="1"/>
    <col min="14557" max="14557" width="14.21875" customWidth="1"/>
    <col min="14558" max="14558" width="6.21875" customWidth="1"/>
    <col min="14559" max="14559" width="7.77734375" customWidth="1"/>
    <col min="14560" max="14560" width="7.21875" customWidth="1"/>
    <col min="14561" max="14561" width="3.5546875" customWidth="1"/>
    <col min="14562" max="14563" width="7.44140625" customWidth="1"/>
    <col min="14564" max="14564" width="6.21875" customWidth="1"/>
    <col min="14565" max="14565" width="9.77734375" customWidth="1"/>
    <col min="14566" max="14566" width="5.21875" customWidth="1"/>
    <col min="14567" max="14567" width="5.44140625" customWidth="1"/>
    <col min="14568" max="14568" width="5.21875" customWidth="1"/>
    <col min="14569" max="14569" width="5.77734375" customWidth="1"/>
    <col min="14570" max="14570" width="5.21875" customWidth="1"/>
    <col min="14571" max="14571" width="5.5546875" customWidth="1"/>
    <col min="14572" max="14572" width="6.77734375" customWidth="1"/>
    <col min="14573" max="14573" width="6.21875" customWidth="1"/>
    <col min="14574" max="14574" width="0.77734375" customWidth="1"/>
    <col min="14575" max="14575" width="4.5546875" customWidth="1"/>
    <col min="14576" max="14576" width="6.21875" customWidth="1"/>
    <col min="14577" max="14577" width="0.77734375" customWidth="1"/>
    <col min="14578" max="14578" width="3.5546875" customWidth="1"/>
    <col min="14579" max="14579" width="3" customWidth="1"/>
    <col min="14580" max="14580" width="6.5546875" customWidth="1"/>
    <col min="14581" max="14581" width="1" customWidth="1"/>
    <col min="14582" max="14582" width="6.77734375" customWidth="1"/>
    <col min="14583" max="14583" width="8.44140625" customWidth="1"/>
    <col min="14584" max="14584" width="9.44140625" bestFit="1" customWidth="1"/>
    <col min="14585" max="14585" width="0.77734375" customWidth="1"/>
    <col min="14586" max="14586" width="5.5546875" customWidth="1"/>
    <col min="14587" max="14587" width="6" customWidth="1"/>
    <col min="14588" max="14588" width="0.77734375" customWidth="1"/>
    <col min="14589" max="14589" width="3.5546875" customWidth="1"/>
    <col min="14590" max="14590" width="3.21875" customWidth="1"/>
    <col min="14591" max="14593" width="3" customWidth="1"/>
    <col min="14594" max="14594" width="7" customWidth="1"/>
    <col min="14595" max="14595" width="0.77734375" customWidth="1"/>
    <col min="14596" max="14596" width="5.44140625" customWidth="1"/>
    <col min="14597" max="14597" width="6.21875" customWidth="1"/>
    <col min="14598" max="14598" width="5" customWidth="1"/>
    <col min="14599" max="14602" width="0" hidden="1" customWidth="1"/>
    <col min="14603" max="14603" width="4.21875" customWidth="1"/>
    <col min="14604" max="14604" width="1" customWidth="1"/>
    <col min="14605" max="14605" width="2.77734375" customWidth="1"/>
    <col min="14606" max="14610" width="3" customWidth="1"/>
    <col min="14611" max="14611" width="3.44140625" customWidth="1"/>
    <col min="14612" max="14612" width="6.21875" customWidth="1"/>
    <col min="14613" max="14613" width="5.44140625" customWidth="1"/>
    <col min="14614" max="14614" width="5.21875" customWidth="1"/>
    <col min="14615" max="14615" width="41.77734375" customWidth="1"/>
    <col min="14616" max="14616" width="35" bestFit="1" customWidth="1"/>
    <col min="14810" max="14810" width="2.21875" customWidth="1"/>
    <col min="14811" max="14811" width="1.77734375" customWidth="1"/>
    <col min="14812" max="14812" width="9.77734375" customWidth="1"/>
    <col min="14813" max="14813" width="14.21875" customWidth="1"/>
    <col min="14814" max="14814" width="6.21875" customWidth="1"/>
    <col min="14815" max="14815" width="7.77734375" customWidth="1"/>
    <col min="14816" max="14816" width="7.21875" customWidth="1"/>
    <col min="14817" max="14817" width="3.5546875" customWidth="1"/>
    <col min="14818" max="14819" width="7.44140625" customWidth="1"/>
    <col min="14820" max="14820" width="6.21875" customWidth="1"/>
    <col min="14821" max="14821" width="9.77734375" customWidth="1"/>
    <col min="14822" max="14822" width="5.21875" customWidth="1"/>
    <col min="14823" max="14823" width="5.44140625" customWidth="1"/>
    <col min="14824" max="14824" width="5.21875" customWidth="1"/>
    <col min="14825" max="14825" width="5.77734375" customWidth="1"/>
    <col min="14826" max="14826" width="5.21875" customWidth="1"/>
    <col min="14827" max="14827" width="5.5546875" customWidth="1"/>
    <col min="14828" max="14828" width="6.77734375" customWidth="1"/>
    <col min="14829" max="14829" width="6.21875" customWidth="1"/>
    <col min="14830" max="14830" width="0.77734375" customWidth="1"/>
    <col min="14831" max="14831" width="4.5546875" customWidth="1"/>
    <col min="14832" max="14832" width="6.21875" customWidth="1"/>
    <col min="14833" max="14833" width="0.77734375" customWidth="1"/>
    <col min="14834" max="14834" width="3.5546875" customWidth="1"/>
    <col min="14835" max="14835" width="3" customWidth="1"/>
    <col min="14836" max="14836" width="6.5546875" customWidth="1"/>
    <col min="14837" max="14837" width="1" customWidth="1"/>
    <col min="14838" max="14838" width="6.77734375" customWidth="1"/>
    <col min="14839" max="14839" width="8.44140625" customWidth="1"/>
    <col min="14840" max="14840" width="9.44140625" bestFit="1" customWidth="1"/>
    <col min="14841" max="14841" width="0.77734375" customWidth="1"/>
    <col min="14842" max="14842" width="5.5546875" customWidth="1"/>
    <col min="14843" max="14843" width="6" customWidth="1"/>
    <col min="14844" max="14844" width="0.77734375" customWidth="1"/>
    <col min="14845" max="14845" width="3.5546875" customWidth="1"/>
    <col min="14846" max="14846" width="3.21875" customWidth="1"/>
    <col min="14847" max="14849" width="3" customWidth="1"/>
    <col min="14850" max="14850" width="7" customWidth="1"/>
    <col min="14851" max="14851" width="0.77734375" customWidth="1"/>
    <col min="14852" max="14852" width="5.44140625" customWidth="1"/>
    <col min="14853" max="14853" width="6.21875" customWidth="1"/>
    <col min="14854" max="14854" width="5" customWidth="1"/>
    <col min="14855" max="14858" width="0" hidden="1" customWidth="1"/>
    <col min="14859" max="14859" width="4.21875" customWidth="1"/>
    <col min="14860" max="14860" width="1" customWidth="1"/>
    <col min="14861" max="14861" width="2.77734375" customWidth="1"/>
    <col min="14862" max="14866" width="3" customWidth="1"/>
    <col min="14867" max="14867" width="3.44140625" customWidth="1"/>
    <col min="14868" max="14868" width="6.21875" customWidth="1"/>
    <col min="14869" max="14869" width="5.44140625" customWidth="1"/>
    <col min="14870" max="14870" width="5.21875" customWidth="1"/>
    <col min="14871" max="14871" width="41.77734375" customWidth="1"/>
    <col min="14872" max="14872" width="35" bestFit="1" customWidth="1"/>
    <col min="15066" max="15066" width="2.21875" customWidth="1"/>
    <col min="15067" max="15067" width="1.77734375" customWidth="1"/>
    <col min="15068" max="15068" width="9.77734375" customWidth="1"/>
    <col min="15069" max="15069" width="14.21875" customWidth="1"/>
    <col min="15070" max="15070" width="6.21875" customWidth="1"/>
    <col min="15071" max="15071" width="7.77734375" customWidth="1"/>
    <col min="15072" max="15072" width="7.21875" customWidth="1"/>
    <col min="15073" max="15073" width="3.5546875" customWidth="1"/>
    <col min="15074" max="15075" width="7.44140625" customWidth="1"/>
    <col min="15076" max="15076" width="6.21875" customWidth="1"/>
    <col min="15077" max="15077" width="9.77734375" customWidth="1"/>
    <col min="15078" max="15078" width="5.21875" customWidth="1"/>
    <col min="15079" max="15079" width="5.44140625" customWidth="1"/>
    <col min="15080" max="15080" width="5.21875" customWidth="1"/>
    <col min="15081" max="15081" width="5.77734375" customWidth="1"/>
    <col min="15082" max="15082" width="5.21875" customWidth="1"/>
    <col min="15083" max="15083" width="5.5546875" customWidth="1"/>
    <col min="15084" max="15084" width="6.77734375" customWidth="1"/>
    <col min="15085" max="15085" width="6.21875" customWidth="1"/>
    <col min="15086" max="15086" width="0.77734375" customWidth="1"/>
    <col min="15087" max="15087" width="4.5546875" customWidth="1"/>
    <col min="15088" max="15088" width="6.21875" customWidth="1"/>
    <col min="15089" max="15089" width="0.77734375" customWidth="1"/>
    <col min="15090" max="15090" width="3.5546875" customWidth="1"/>
    <col min="15091" max="15091" width="3" customWidth="1"/>
    <col min="15092" max="15092" width="6.5546875" customWidth="1"/>
    <col min="15093" max="15093" width="1" customWidth="1"/>
    <col min="15094" max="15094" width="6.77734375" customWidth="1"/>
    <col min="15095" max="15095" width="8.44140625" customWidth="1"/>
    <col min="15096" max="15096" width="9.44140625" bestFit="1" customWidth="1"/>
    <col min="15097" max="15097" width="0.77734375" customWidth="1"/>
    <col min="15098" max="15098" width="5.5546875" customWidth="1"/>
    <col min="15099" max="15099" width="6" customWidth="1"/>
    <col min="15100" max="15100" width="0.77734375" customWidth="1"/>
    <col min="15101" max="15101" width="3.5546875" customWidth="1"/>
    <col min="15102" max="15102" width="3.21875" customWidth="1"/>
    <col min="15103" max="15105" width="3" customWidth="1"/>
    <col min="15106" max="15106" width="7" customWidth="1"/>
    <col min="15107" max="15107" width="0.77734375" customWidth="1"/>
    <col min="15108" max="15108" width="5.44140625" customWidth="1"/>
    <col min="15109" max="15109" width="6.21875" customWidth="1"/>
    <col min="15110" max="15110" width="5" customWidth="1"/>
    <col min="15111" max="15114" width="0" hidden="1" customWidth="1"/>
    <col min="15115" max="15115" width="4.21875" customWidth="1"/>
    <col min="15116" max="15116" width="1" customWidth="1"/>
    <col min="15117" max="15117" width="2.77734375" customWidth="1"/>
    <col min="15118" max="15122" width="3" customWidth="1"/>
    <col min="15123" max="15123" width="3.44140625" customWidth="1"/>
    <col min="15124" max="15124" width="6.21875" customWidth="1"/>
    <col min="15125" max="15125" width="5.44140625" customWidth="1"/>
    <col min="15126" max="15126" width="5.21875" customWidth="1"/>
    <col min="15127" max="15127" width="41.77734375" customWidth="1"/>
    <col min="15128" max="15128" width="35" bestFit="1" customWidth="1"/>
    <col min="15322" max="15322" width="2.21875" customWidth="1"/>
    <col min="15323" max="15323" width="1.77734375" customWidth="1"/>
    <col min="15324" max="15324" width="9.77734375" customWidth="1"/>
    <col min="15325" max="15325" width="14.21875" customWidth="1"/>
    <col min="15326" max="15326" width="6.21875" customWidth="1"/>
    <col min="15327" max="15327" width="7.77734375" customWidth="1"/>
    <col min="15328" max="15328" width="7.21875" customWidth="1"/>
    <col min="15329" max="15329" width="3.5546875" customWidth="1"/>
    <col min="15330" max="15331" width="7.44140625" customWidth="1"/>
    <col min="15332" max="15332" width="6.21875" customWidth="1"/>
    <col min="15333" max="15333" width="9.77734375" customWidth="1"/>
    <col min="15334" max="15334" width="5.21875" customWidth="1"/>
    <col min="15335" max="15335" width="5.44140625" customWidth="1"/>
    <col min="15336" max="15336" width="5.21875" customWidth="1"/>
    <col min="15337" max="15337" width="5.77734375" customWidth="1"/>
    <col min="15338" max="15338" width="5.21875" customWidth="1"/>
    <col min="15339" max="15339" width="5.5546875" customWidth="1"/>
    <col min="15340" max="15340" width="6.77734375" customWidth="1"/>
    <col min="15341" max="15341" width="6.21875" customWidth="1"/>
    <col min="15342" max="15342" width="0.77734375" customWidth="1"/>
    <col min="15343" max="15343" width="4.5546875" customWidth="1"/>
    <col min="15344" max="15344" width="6.21875" customWidth="1"/>
    <col min="15345" max="15345" width="0.77734375" customWidth="1"/>
    <col min="15346" max="15346" width="3.5546875" customWidth="1"/>
    <col min="15347" max="15347" width="3" customWidth="1"/>
    <col min="15348" max="15348" width="6.5546875" customWidth="1"/>
    <col min="15349" max="15349" width="1" customWidth="1"/>
    <col min="15350" max="15350" width="6.77734375" customWidth="1"/>
    <col min="15351" max="15351" width="8.44140625" customWidth="1"/>
    <col min="15352" max="15352" width="9.44140625" bestFit="1" customWidth="1"/>
    <col min="15353" max="15353" width="0.77734375" customWidth="1"/>
    <col min="15354" max="15354" width="5.5546875" customWidth="1"/>
    <col min="15355" max="15355" width="6" customWidth="1"/>
    <col min="15356" max="15356" width="0.77734375" customWidth="1"/>
    <col min="15357" max="15357" width="3.5546875" customWidth="1"/>
    <col min="15358" max="15358" width="3.21875" customWidth="1"/>
    <col min="15359" max="15361" width="3" customWidth="1"/>
    <col min="15362" max="15362" width="7" customWidth="1"/>
    <col min="15363" max="15363" width="0.77734375" customWidth="1"/>
    <col min="15364" max="15364" width="5.44140625" customWidth="1"/>
    <col min="15365" max="15365" width="6.21875" customWidth="1"/>
    <col min="15366" max="15366" width="5" customWidth="1"/>
    <col min="15367" max="15370" width="0" hidden="1" customWidth="1"/>
    <col min="15371" max="15371" width="4.21875" customWidth="1"/>
    <col min="15372" max="15372" width="1" customWidth="1"/>
    <col min="15373" max="15373" width="2.77734375" customWidth="1"/>
    <col min="15374" max="15378" width="3" customWidth="1"/>
    <col min="15379" max="15379" width="3.44140625" customWidth="1"/>
    <col min="15380" max="15380" width="6.21875" customWidth="1"/>
    <col min="15381" max="15381" width="5.44140625" customWidth="1"/>
    <col min="15382" max="15382" width="5.21875" customWidth="1"/>
    <col min="15383" max="15383" width="41.77734375" customWidth="1"/>
    <col min="15384" max="15384" width="35" bestFit="1" customWidth="1"/>
    <col min="15578" max="15578" width="2.21875" customWidth="1"/>
    <col min="15579" max="15579" width="1.77734375" customWidth="1"/>
    <col min="15580" max="15580" width="9.77734375" customWidth="1"/>
    <col min="15581" max="15581" width="14.21875" customWidth="1"/>
    <col min="15582" max="15582" width="6.21875" customWidth="1"/>
    <col min="15583" max="15583" width="7.77734375" customWidth="1"/>
    <col min="15584" max="15584" width="7.21875" customWidth="1"/>
    <col min="15585" max="15585" width="3.5546875" customWidth="1"/>
    <col min="15586" max="15587" width="7.44140625" customWidth="1"/>
    <col min="15588" max="15588" width="6.21875" customWidth="1"/>
    <col min="15589" max="15589" width="9.77734375" customWidth="1"/>
    <col min="15590" max="15590" width="5.21875" customWidth="1"/>
    <col min="15591" max="15591" width="5.44140625" customWidth="1"/>
    <col min="15592" max="15592" width="5.21875" customWidth="1"/>
    <col min="15593" max="15593" width="5.77734375" customWidth="1"/>
    <col min="15594" max="15594" width="5.21875" customWidth="1"/>
    <col min="15595" max="15595" width="5.5546875" customWidth="1"/>
    <col min="15596" max="15596" width="6.77734375" customWidth="1"/>
    <col min="15597" max="15597" width="6.21875" customWidth="1"/>
    <col min="15598" max="15598" width="0.77734375" customWidth="1"/>
    <col min="15599" max="15599" width="4.5546875" customWidth="1"/>
    <col min="15600" max="15600" width="6.21875" customWidth="1"/>
    <col min="15601" max="15601" width="0.77734375" customWidth="1"/>
    <col min="15602" max="15602" width="3.5546875" customWidth="1"/>
    <col min="15603" max="15603" width="3" customWidth="1"/>
    <col min="15604" max="15604" width="6.5546875" customWidth="1"/>
    <col min="15605" max="15605" width="1" customWidth="1"/>
    <col min="15606" max="15606" width="6.77734375" customWidth="1"/>
    <col min="15607" max="15607" width="8.44140625" customWidth="1"/>
    <col min="15608" max="15608" width="9.44140625" bestFit="1" customWidth="1"/>
    <col min="15609" max="15609" width="0.77734375" customWidth="1"/>
    <col min="15610" max="15610" width="5.5546875" customWidth="1"/>
    <col min="15611" max="15611" width="6" customWidth="1"/>
    <col min="15612" max="15612" width="0.77734375" customWidth="1"/>
    <col min="15613" max="15613" width="3.5546875" customWidth="1"/>
    <col min="15614" max="15614" width="3.21875" customWidth="1"/>
    <col min="15615" max="15617" width="3" customWidth="1"/>
    <col min="15618" max="15618" width="7" customWidth="1"/>
    <col min="15619" max="15619" width="0.77734375" customWidth="1"/>
    <col min="15620" max="15620" width="5.44140625" customWidth="1"/>
    <col min="15621" max="15621" width="6.21875" customWidth="1"/>
    <col min="15622" max="15622" width="5" customWidth="1"/>
    <col min="15623" max="15626" width="0" hidden="1" customWidth="1"/>
    <col min="15627" max="15627" width="4.21875" customWidth="1"/>
    <col min="15628" max="15628" width="1" customWidth="1"/>
    <col min="15629" max="15629" width="2.77734375" customWidth="1"/>
    <col min="15630" max="15634" width="3" customWidth="1"/>
    <col min="15635" max="15635" width="3.44140625" customWidth="1"/>
    <col min="15636" max="15636" width="6.21875" customWidth="1"/>
    <col min="15637" max="15637" width="5.44140625" customWidth="1"/>
    <col min="15638" max="15638" width="5.21875" customWidth="1"/>
    <col min="15639" max="15639" width="41.77734375" customWidth="1"/>
    <col min="15640" max="15640" width="35" bestFit="1" customWidth="1"/>
    <col min="15834" max="15834" width="2.21875" customWidth="1"/>
    <col min="15835" max="15835" width="1.77734375" customWidth="1"/>
    <col min="15836" max="15836" width="9.77734375" customWidth="1"/>
    <col min="15837" max="15837" width="14.21875" customWidth="1"/>
    <col min="15838" max="15838" width="6.21875" customWidth="1"/>
    <col min="15839" max="15839" width="7.77734375" customWidth="1"/>
    <col min="15840" max="15840" width="7.21875" customWidth="1"/>
    <col min="15841" max="15841" width="3.5546875" customWidth="1"/>
    <col min="15842" max="15843" width="7.44140625" customWidth="1"/>
    <col min="15844" max="15844" width="6.21875" customWidth="1"/>
    <col min="15845" max="15845" width="9.77734375" customWidth="1"/>
    <col min="15846" max="15846" width="5.21875" customWidth="1"/>
    <col min="15847" max="15847" width="5.44140625" customWidth="1"/>
    <col min="15848" max="15848" width="5.21875" customWidth="1"/>
    <col min="15849" max="15849" width="5.77734375" customWidth="1"/>
    <col min="15850" max="15850" width="5.21875" customWidth="1"/>
    <col min="15851" max="15851" width="5.5546875" customWidth="1"/>
    <col min="15852" max="15852" width="6.77734375" customWidth="1"/>
    <col min="15853" max="15853" width="6.21875" customWidth="1"/>
    <col min="15854" max="15854" width="0.77734375" customWidth="1"/>
    <col min="15855" max="15855" width="4.5546875" customWidth="1"/>
    <col min="15856" max="15856" width="6.21875" customWidth="1"/>
    <col min="15857" max="15857" width="0.77734375" customWidth="1"/>
    <col min="15858" max="15858" width="3.5546875" customWidth="1"/>
    <col min="15859" max="15859" width="3" customWidth="1"/>
    <col min="15860" max="15860" width="6.5546875" customWidth="1"/>
    <col min="15861" max="15861" width="1" customWidth="1"/>
    <col min="15862" max="15862" width="6.77734375" customWidth="1"/>
    <col min="15863" max="15863" width="8.44140625" customWidth="1"/>
    <col min="15864" max="15864" width="9.44140625" bestFit="1" customWidth="1"/>
    <col min="15865" max="15865" width="0.77734375" customWidth="1"/>
    <col min="15866" max="15866" width="5.5546875" customWidth="1"/>
    <col min="15867" max="15867" width="6" customWidth="1"/>
    <col min="15868" max="15868" width="0.77734375" customWidth="1"/>
    <col min="15869" max="15869" width="3.5546875" customWidth="1"/>
    <col min="15870" max="15870" width="3.21875" customWidth="1"/>
    <col min="15871" max="15873" width="3" customWidth="1"/>
    <col min="15874" max="15874" width="7" customWidth="1"/>
    <col min="15875" max="15875" width="0.77734375" customWidth="1"/>
    <col min="15876" max="15876" width="5.44140625" customWidth="1"/>
    <col min="15877" max="15877" width="6.21875" customWidth="1"/>
    <col min="15878" max="15878" width="5" customWidth="1"/>
    <col min="15879" max="15882" width="0" hidden="1" customWidth="1"/>
    <col min="15883" max="15883" width="4.21875" customWidth="1"/>
    <col min="15884" max="15884" width="1" customWidth="1"/>
    <col min="15885" max="15885" width="2.77734375" customWidth="1"/>
    <col min="15886" max="15890" width="3" customWidth="1"/>
    <col min="15891" max="15891" width="3.44140625" customWidth="1"/>
    <col min="15892" max="15892" width="6.21875" customWidth="1"/>
    <col min="15893" max="15893" width="5.44140625" customWidth="1"/>
    <col min="15894" max="15894" width="5.21875" customWidth="1"/>
    <col min="15895" max="15895" width="41.77734375" customWidth="1"/>
    <col min="15896" max="15896" width="35" bestFit="1" customWidth="1"/>
    <col min="16090" max="16090" width="2.21875" customWidth="1"/>
    <col min="16091" max="16091" width="1.77734375" customWidth="1"/>
    <col min="16092" max="16092" width="9.77734375" customWidth="1"/>
    <col min="16093" max="16093" width="14.21875" customWidth="1"/>
    <col min="16094" max="16094" width="6.21875" customWidth="1"/>
    <col min="16095" max="16095" width="7.77734375" customWidth="1"/>
    <col min="16096" max="16096" width="7.21875" customWidth="1"/>
    <col min="16097" max="16097" width="3.5546875" customWidth="1"/>
    <col min="16098" max="16099" width="7.44140625" customWidth="1"/>
    <col min="16100" max="16100" width="6.21875" customWidth="1"/>
    <col min="16101" max="16101" width="9.77734375" customWidth="1"/>
    <col min="16102" max="16102" width="5.21875" customWidth="1"/>
    <col min="16103" max="16103" width="5.44140625" customWidth="1"/>
    <col min="16104" max="16104" width="5.21875" customWidth="1"/>
    <col min="16105" max="16105" width="5.77734375" customWidth="1"/>
    <col min="16106" max="16106" width="5.21875" customWidth="1"/>
    <col min="16107" max="16107" width="5.5546875" customWidth="1"/>
    <col min="16108" max="16108" width="6.77734375" customWidth="1"/>
    <col min="16109" max="16109" width="6.21875" customWidth="1"/>
    <col min="16110" max="16110" width="0.77734375" customWidth="1"/>
    <col min="16111" max="16111" width="4.5546875" customWidth="1"/>
    <col min="16112" max="16112" width="6.21875" customWidth="1"/>
    <col min="16113" max="16113" width="0.77734375" customWidth="1"/>
    <col min="16114" max="16114" width="3.5546875" customWidth="1"/>
    <col min="16115" max="16115" width="3" customWidth="1"/>
    <col min="16116" max="16116" width="6.5546875" customWidth="1"/>
    <col min="16117" max="16117" width="1" customWidth="1"/>
    <col min="16118" max="16118" width="6.77734375" customWidth="1"/>
    <col min="16119" max="16119" width="8.44140625" customWidth="1"/>
    <col min="16120" max="16120" width="9.44140625" bestFit="1" customWidth="1"/>
    <col min="16121" max="16121" width="0.77734375" customWidth="1"/>
    <col min="16122" max="16122" width="5.5546875" customWidth="1"/>
    <col min="16123" max="16123" width="6" customWidth="1"/>
    <col min="16124" max="16124" width="0.77734375" customWidth="1"/>
    <col min="16125" max="16125" width="3.5546875" customWidth="1"/>
    <col min="16126" max="16126" width="3.21875" customWidth="1"/>
    <col min="16127" max="16129" width="3" customWidth="1"/>
    <col min="16130" max="16130" width="7" customWidth="1"/>
    <col min="16131" max="16131" width="0.77734375" customWidth="1"/>
    <col min="16132" max="16132" width="5.44140625" customWidth="1"/>
    <col min="16133" max="16133" width="6.21875" customWidth="1"/>
    <col min="16134" max="16134" width="5" customWidth="1"/>
    <col min="16135" max="16138" width="0" hidden="1" customWidth="1"/>
    <col min="16139" max="16139" width="4.21875" customWidth="1"/>
    <col min="16140" max="16140" width="1" customWidth="1"/>
    <col min="16141" max="16141" width="2.77734375" customWidth="1"/>
    <col min="16142" max="16146" width="3" customWidth="1"/>
    <col min="16147" max="16147" width="3.44140625" customWidth="1"/>
    <col min="16148" max="16148" width="6.21875" customWidth="1"/>
    <col min="16149" max="16149" width="5.44140625" customWidth="1"/>
    <col min="16150" max="16150" width="5.21875" customWidth="1"/>
    <col min="16151" max="16151" width="41.77734375" customWidth="1"/>
    <col min="16152" max="16152" width="35" bestFit="1" customWidth="1"/>
  </cols>
  <sheetData>
    <row r="1" spans="1:24" s="7" customFormat="1" ht="24.6" thickBot="1" x14ac:dyDescent="0.35">
      <c r="A1" s="8"/>
      <c r="B1" s="9" t="s">
        <v>26</v>
      </c>
      <c r="C1" s="209">
        <v>46038</v>
      </c>
      <c r="D1" s="210"/>
      <c r="E1" s="210"/>
      <c r="F1" s="10"/>
      <c r="G1" s="111"/>
      <c r="H1" s="210" t="s">
        <v>27</v>
      </c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10"/>
      <c r="U1" s="10"/>
      <c r="V1" s="10"/>
      <c r="W1" s="10"/>
    </row>
    <row r="2" spans="1:24" ht="12.75" customHeight="1" x14ac:dyDescent="0.3">
      <c r="A2" s="211" t="s">
        <v>28</v>
      </c>
      <c r="B2" s="214" t="s">
        <v>29</v>
      </c>
      <c r="C2" s="216" t="s">
        <v>30</v>
      </c>
      <c r="D2" s="218" t="s">
        <v>31</v>
      </c>
      <c r="E2" s="221" t="s">
        <v>32</v>
      </c>
      <c r="F2" s="224" t="s">
        <v>33</v>
      </c>
      <c r="G2" s="227" t="s">
        <v>34</v>
      </c>
      <c r="H2" s="230" t="s">
        <v>35</v>
      </c>
      <c r="I2" s="231"/>
      <c r="J2" s="231"/>
      <c r="K2" s="231"/>
      <c r="L2" s="231"/>
      <c r="M2" s="231"/>
      <c r="N2" s="231"/>
      <c r="O2" s="232" t="s">
        <v>36</v>
      </c>
      <c r="P2" s="233"/>
      <c r="Q2" s="243" t="s">
        <v>37</v>
      </c>
      <c r="R2" s="243"/>
      <c r="S2" s="259" t="s">
        <v>38</v>
      </c>
      <c r="T2" s="260"/>
      <c r="U2" s="261" t="s">
        <v>39</v>
      </c>
      <c r="V2" s="262"/>
      <c r="W2" s="263"/>
      <c r="X2" s="249" t="s">
        <v>97</v>
      </c>
    </row>
    <row r="3" spans="1:24" ht="15" customHeight="1" x14ac:dyDescent="0.3">
      <c r="A3" s="212"/>
      <c r="B3" s="215"/>
      <c r="C3" s="217"/>
      <c r="D3" s="219"/>
      <c r="E3" s="222"/>
      <c r="F3" s="225"/>
      <c r="G3" s="228"/>
      <c r="H3" s="234" t="s">
        <v>40</v>
      </c>
      <c r="I3" s="236" t="s">
        <v>108</v>
      </c>
      <c r="J3" s="236" t="s">
        <v>107</v>
      </c>
      <c r="K3" s="236" t="s">
        <v>106</v>
      </c>
      <c r="L3" s="236" t="s">
        <v>105</v>
      </c>
      <c r="M3" s="236" t="s">
        <v>125</v>
      </c>
      <c r="N3" s="236" t="s">
        <v>124</v>
      </c>
      <c r="O3" s="245" t="s">
        <v>127</v>
      </c>
      <c r="P3" s="247" t="s">
        <v>128</v>
      </c>
      <c r="Q3" s="244" t="s">
        <v>96</v>
      </c>
      <c r="R3" s="238" t="s">
        <v>41</v>
      </c>
      <c r="S3" s="255" t="s">
        <v>98</v>
      </c>
      <c r="T3" s="257" t="s">
        <v>42</v>
      </c>
      <c r="U3" s="264" t="s">
        <v>112</v>
      </c>
      <c r="V3" s="251" t="s">
        <v>113</v>
      </c>
      <c r="W3" s="253" t="s">
        <v>43</v>
      </c>
      <c r="X3" s="250"/>
    </row>
    <row r="4" spans="1:24" ht="44.4" customHeight="1" thickBot="1" x14ac:dyDescent="0.35">
      <c r="A4" s="213"/>
      <c r="B4" s="215"/>
      <c r="C4" s="217"/>
      <c r="D4" s="220"/>
      <c r="E4" s="223"/>
      <c r="F4" s="226"/>
      <c r="G4" s="229"/>
      <c r="H4" s="235"/>
      <c r="I4" s="237"/>
      <c r="J4" s="237"/>
      <c r="K4" s="240"/>
      <c r="L4" s="241"/>
      <c r="M4" s="242"/>
      <c r="N4" s="242"/>
      <c r="O4" s="246"/>
      <c r="P4" s="248"/>
      <c r="Q4" s="244"/>
      <c r="R4" s="239"/>
      <c r="S4" s="256"/>
      <c r="T4" s="258"/>
      <c r="U4" s="265"/>
      <c r="V4" s="252"/>
      <c r="W4" s="254"/>
      <c r="X4" s="250"/>
    </row>
    <row r="5" spans="1:24" ht="20.25" customHeight="1" thickBot="1" x14ac:dyDescent="0.35">
      <c r="A5" s="11"/>
      <c r="B5" s="12" t="s">
        <v>123</v>
      </c>
      <c r="C5" s="13" t="s">
        <v>44</v>
      </c>
      <c r="D5" s="14" t="s">
        <v>45</v>
      </c>
      <c r="E5" s="108" t="s">
        <v>16</v>
      </c>
      <c r="F5" s="15">
        <v>127</v>
      </c>
      <c r="G5" s="112" t="s">
        <v>9</v>
      </c>
      <c r="H5" s="15">
        <v>3000</v>
      </c>
      <c r="I5" s="15">
        <v>1892</v>
      </c>
      <c r="J5" s="15">
        <v>692</v>
      </c>
      <c r="K5" s="15">
        <v>2175</v>
      </c>
      <c r="L5" s="15">
        <v>1750</v>
      </c>
      <c r="M5" s="15">
        <v>2900</v>
      </c>
      <c r="N5" s="15">
        <v>2400</v>
      </c>
      <c r="O5" s="15">
        <v>3</v>
      </c>
      <c r="P5" s="15">
        <v>3</v>
      </c>
      <c r="Q5" s="17">
        <v>38</v>
      </c>
      <c r="R5" s="110">
        <v>18</v>
      </c>
      <c r="S5" s="18">
        <v>72</v>
      </c>
      <c r="T5" s="16" t="s">
        <v>95</v>
      </c>
      <c r="U5">
        <v>3</v>
      </c>
      <c r="V5" s="19">
        <v>3</v>
      </c>
      <c r="W5" s="15"/>
      <c r="X5" s="15">
        <v>2700</v>
      </c>
    </row>
    <row r="6" spans="1:24" ht="20.25" customHeight="1" thickBot="1" x14ac:dyDescent="0.35">
      <c r="A6" s="11"/>
      <c r="B6" s="12" t="s">
        <v>122</v>
      </c>
      <c r="C6" s="13" t="s">
        <v>47</v>
      </c>
      <c r="D6" s="14" t="s">
        <v>48</v>
      </c>
      <c r="E6" s="108" t="s">
        <v>16</v>
      </c>
      <c r="F6" s="16">
        <v>127</v>
      </c>
      <c r="G6" s="112" t="s">
        <v>9</v>
      </c>
      <c r="H6" s="16">
        <v>3000</v>
      </c>
      <c r="I6" s="16">
        <v>1990</v>
      </c>
      <c r="J6" s="16">
        <v>790</v>
      </c>
      <c r="K6" s="16">
        <v>2120</v>
      </c>
      <c r="L6" s="16">
        <v>1720</v>
      </c>
      <c r="M6" s="16">
        <v>3020</v>
      </c>
      <c r="N6" s="16">
        <v>2600</v>
      </c>
      <c r="O6" s="16">
        <v>3</v>
      </c>
      <c r="P6" s="16">
        <v>3</v>
      </c>
      <c r="Q6" s="17">
        <v>36</v>
      </c>
      <c r="R6" s="16">
        <v>16</v>
      </c>
      <c r="S6" s="20">
        <v>60</v>
      </c>
      <c r="T6" s="16" t="s">
        <v>95</v>
      </c>
      <c r="U6" s="19">
        <v>3</v>
      </c>
      <c r="V6" s="19">
        <v>3</v>
      </c>
      <c r="W6" s="16"/>
      <c r="X6" s="16">
        <v>2700</v>
      </c>
    </row>
    <row r="7" spans="1:24" ht="20.25" hidden="1" customHeight="1" thickBot="1" x14ac:dyDescent="0.35">
      <c r="A7" s="21"/>
      <c r="B7" s="22" t="s">
        <v>49</v>
      </c>
      <c r="C7" s="23" t="s">
        <v>50</v>
      </c>
      <c r="D7" s="24">
        <v>91</v>
      </c>
      <c r="E7" s="25" t="s">
        <v>46</v>
      </c>
      <c r="F7" s="15">
        <v>127</v>
      </c>
      <c r="G7" s="112" t="s">
        <v>9</v>
      </c>
      <c r="H7" s="15">
        <v>1354</v>
      </c>
      <c r="I7" s="15">
        <v>1696</v>
      </c>
      <c r="J7" s="15">
        <v>1085</v>
      </c>
      <c r="K7" s="15">
        <v>1800</v>
      </c>
      <c r="L7" s="15">
        <v>1400</v>
      </c>
      <c r="M7" s="15">
        <v>2550</v>
      </c>
      <c r="N7" s="15">
        <v>2050</v>
      </c>
      <c r="O7" s="15">
        <v>2</v>
      </c>
      <c r="P7" s="15">
        <v>3</v>
      </c>
      <c r="Q7" s="17" t="e">
        <f>R7+#REF!</f>
        <v>#REF!</v>
      </c>
      <c r="R7" s="16">
        <v>8</v>
      </c>
      <c r="S7" s="26">
        <v>36</v>
      </c>
      <c r="T7" s="15" t="s">
        <v>51</v>
      </c>
      <c r="U7" s="19" t="s">
        <v>52</v>
      </c>
      <c r="V7" s="19" t="s">
        <v>53</v>
      </c>
      <c r="W7" s="15">
        <v>1</v>
      </c>
      <c r="X7" s="15">
        <v>2065</v>
      </c>
    </row>
    <row r="8" spans="1:24" x14ac:dyDescent="0.3">
      <c r="A8" s="27"/>
      <c r="B8" s="28"/>
      <c r="C8" s="29"/>
      <c r="D8" s="30"/>
      <c r="E8" s="29"/>
      <c r="F8" s="31"/>
      <c r="G8" s="113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2"/>
      <c r="T8" s="31"/>
      <c r="U8" s="31"/>
      <c r="V8" s="31"/>
      <c r="W8" s="31"/>
      <c r="X8" s="31"/>
    </row>
    <row r="9" spans="1:24" x14ac:dyDescent="0.3">
      <c r="A9" s="34"/>
      <c r="B9" s="35" t="s">
        <v>54</v>
      </c>
      <c r="C9" s="36" t="s">
        <v>44</v>
      </c>
      <c r="D9" s="24">
        <v>2025</v>
      </c>
      <c r="E9" s="109" t="s">
        <v>16</v>
      </c>
      <c r="F9" s="16">
        <v>127</v>
      </c>
      <c r="G9" s="114" t="s">
        <v>10</v>
      </c>
      <c r="H9" s="15">
        <v>3200</v>
      </c>
      <c r="I9" s="15">
        <f>2000-(52*2)</f>
        <v>1896</v>
      </c>
      <c r="J9" s="15">
        <f>800-(52*2)</f>
        <v>696</v>
      </c>
      <c r="K9" s="15">
        <v>1920</v>
      </c>
      <c r="L9" s="15">
        <v>1480</v>
      </c>
      <c r="M9" s="15">
        <f>1270+1270</f>
        <v>2540</v>
      </c>
      <c r="N9" s="15">
        <v>2240</v>
      </c>
      <c r="O9" s="15">
        <v>3</v>
      </c>
      <c r="P9" s="15">
        <v>3</v>
      </c>
      <c r="Q9" s="17">
        <v>24</v>
      </c>
      <c r="R9" s="16">
        <v>24</v>
      </c>
      <c r="S9" s="26">
        <v>64</v>
      </c>
      <c r="T9" s="15"/>
      <c r="U9" s="15">
        <v>2</v>
      </c>
      <c r="V9" s="15">
        <v>2</v>
      </c>
      <c r="W9" s="15">
        <v>1</v>
      </c>
      <c r="X9" s="15">
        <v>2100</v>
      </c>
    </row>
    <row r="10" spans="1:24" ht="6" customHeight="1" thickBot="1" x14ac:dyDescent="0.35">
      <c r="A10" s="27"/>
      <c r="B10" s="28"/>
      <c r="C10" s="29"/>
      <c r="D10" s="30"/>
      <c r="E10" s="29"/>
      <c r="F10" s="31"/>
      <c r="G10" s="113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2"/>
      <c r="T10" s="31"/>
      <c r="U10" s="31"/>
      <c r="V10" s="31"/>
      <c r="W10" s="31"/>
      <c r="X10" s="31"/>
    </row>
    <row r="11" spans="1:24" ht="20.25" customHeight="1" thickBot="1" x14ac:dyDescent="0.35">
      <c r="A11" s="38"/>
      <c r="B11" s="22" t="s">
        <v>55</v>
      </c>
      <c r="C11" s="39" t="s">
        <v>47</v>
      </c>
      <c r="D11" s="24">
        <v>1990</v>
      </c>
      <c r="E11" s="108" t="s">
        <v>16</v>
      </c>
      <c r="F11" s="15">
        <v>127</v>
      </c>
      <c r="G11" s="114" t="s">
        <v>10</v>
      </c>
      <c r="H11" s="16">
        <v>2900</v>
      </c>
      <c r="I11" s="16">
        <v>1592</v>
      </c>
      <c r="J11" s="16">
        <v>915</v>
      </c>
      <c r="K11" s="16">
        <v>1800</v>
      </c>
      <c r="L11" s="16">
        <v>1500</v>
      </c>
      <c r="M11" s="16">
        <v>2540</v>
      </c>
      <c r="N11" s="16">
        <v>2240</v>
      </c>
      <c r="O11" s="15">
        <v>2</v>
      </c>
      <c r="P11" s="15">
        <v>3</v>
      </c>
      <c r="Q11" s="17">
        <v>36</v>
      </c>
      <c r="R11" s="16">
        <v>16</v>
      </c>
      <c r="S11" s="15">
        <v>32</v>
      </c>
      <c r="T11" s="15" t="s">
        <v>95</v>
      </c>
      <c r="U11" s="15">
        <v>2</v>
      </c>
      <c r="V11" s="15">
        <v>1</v>
      </c>
      <c r="W11" s="15">
        <v>1</v>
      </c>
      <c r="X11" s="16">
        <v>2000</v>
      </c>
    </row>
    <row r="12" spans="1:24" ht="6.75" customHeight="1" thickBot="1" x14ac:dyDescent="0.35">
      <c r="A12" s="27"/>
      <c r="B12" s="29"/>
      <c r="C12" s="29"/>
      <c r="D12" s="30"/>
      <c r="E12" s="29"/>
      <c r="F12" s="31"/>
      <c r="G12" s="113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2"/>
      <c r="T12" s="31"/>
      <c r="U12" s="31"/>
      <c r="V12" s="31"/>
      <c r="W12" s="31"/>
      <c r="X12" s="31"/>
    </row>
    <row r="13" spans="1:24" s="40" customFormat="1" thickBot="1" x14ac:dyDescent="0.3">
      <c r="A13" s="41"/>
      <c r="B13" s="42" t="s">
        <v>56</v>
      </c>
      <c r="C13" s="39" t="s">
        <v>47</v>
      </c>
      <c r="D13" s="43">
        <v>1997</v>
      </c>
      <c r="E13" s="108" t="s">
        <v>16</v>
      </c>
      <c r="F13" s="44">
        <v>127</v>
      </c>
      <c r="G13" s="115" t="s">
        <v>10</v>
      </c>
      <c r="H13" s="44">
        <v>2900</v>
      </c>
      <c r="I13" s="44">
        <v>1592</v>
      </c>
      <c r="J13" s="44">
        <v>915</v>
      </c>
      <c r="K13" s="44">
        <v>1800</v>
      </c>
      <c r="L13" s="44">
        <v>1500</v>
      </c>
      <c r="M13" s="44">
        <v>2540</v>
      </c>
      <c r="N13" s="44">
        <v>2240</v>
      </c>
      <c r="O13" s="44">
        <v>2</v>
      </c>
      <c r="P13" s="44">
        <v>3</v>
      </c>
      <c r="Q13" s="17">
        <v>36</v>
      </c>
      <c r="R13" s="45">
        <v>16</v>
      </c>
      <c r="S13" s="46">
        <v>72</v>
      </c>
      <c r="T13" s="44" t="s">
        <v>95</v>
      </c>
      <c r="U13" s="44">
        <v>2</v>
      </c>
      <c r="V13" s="47">
        <v>2</v>
      </c>
      <c r="W13" s="44">
        <v>1</v>
      </c>
      <c r="X13" s="44">
        <v>1975</v>
      </c>
    </row>
    <row r="14" spans="1:24" ht="10.5" customHeight="1" thickBot="1" x14ac:dyDescent="0.35">
      <c r="A14" s="27"/>
      <c r="B14" s="48"/>
      <c r="C14" s="48"/>
      <c r="D14" s="49"/>
      <c r="E14" s="48"/>
      <c r="F14" s="50"/>
      <c r="G14" s="116"/>
      <c r="H14" s="50"/>
      <c r="I14" s="50"/>
      <c r="J14" s="50"/>
      <c r="K14" s="50"/>
      <c r="L14" s="50"/>
      <c r="M14" s="50"/>
      <c r="N14" s="50"/>
      <c r="O14" s="50"/>
      <c r="P14" s="50"/>
      <c r="Q14" s="31"/>
      <c r="R14" s="31"/>
      <c r="S14" s="51"/>
      <c r="T14" s="50"/>
      <c r="U14" s="50"/>
      <c r="V14" s="50"/>
      <c r="W14" s="50"/>
      <c r="X14" s="50"/>
    </row>
    <row r="15" spans="1:24" ht="20.25" customHeight="1" thickBot="1" x14ac:dyDescent="0.35">
      <c r="A15" s="52"/>
      <c r="B15" s="42" t="s">
        <v>57</v>
      </c>
      <c r="C15" s="13" t="s">
        <v>58</v>
      </c>
      <c r="D15" s="19">
        <v>1999</v>
      </c>
      <c r="E15" s="108" t="s">
        <v>16</v>
      </c>
      <c r="F15" s="16">
        <v>127</v>
      </c>
      <c r="G15" s="114" t="s">
        <v>10</v>
      </c>
      <c r="H15" s="16">
        <v>2816</v>
      </c>
      <c r="I15" s="16">
        <v>1916</v>
      </c>
      <c r="J15" s="16">
        <v>896</v>
      </c>
      <c r="K15" s="16">
        <v>1900</v>
      </c>
      <c r="L15" s="16">
        <v>1500</v>
      </c>
      <c r="M15" s="16">
        <v>2710</v>
      </c>
      <c r="N15" s="16">
        <v>2280</v>
      </c>
      <c r="O15" s="16">
        <v>3</v>
      </c>
      <c r="P15" s="16">
        <v>3</v>
      </c>
      <c r="Q15" s="17">
        <v>64</v>
      </c>
      <c r="R15" s="16">
        <v>16</v>
      </c>
      <c r="S15" s="16">
        <v>48</v>
      </c>
      <c r="T15" s="16" t="s">
        <v>95</v>
      </c>
      <c r="U15" s="16">
        <v>2</v>
      </c>
      <c r="V15" s="16">
        <v>1</v>
      </c>
      <c r="W15" s="16">
        <v>1</v>
      </c>
      <c r="X15" s="16">
        <v>2000</v>
      </c>
    </row>
    <row r="16" spans="1:24" x14ac:dyDescent="0.3">
      <c r="A16" s="34"/>
      <c r="B16" s="35" t="s">
        <v>59</v>
      </c>
      <c r="C16" s="13" t="s">
        <v>44</v>
      </c>
      <c r="D16" s="24">
        <v>2024</v>
      </c>
      <c r="E16" s="109" t="s">
        <v>16</v>
      </c>
      <c r="F16" s="16">
        <v>127</v>
      </c>
      <c r="G16" s="114" t="s">
        <v>10</v>
      </c>
      <c r="H16" s="16">
        <f>3000-104</f>
        <v>2896</v>
      </c>
      <c r="I16" s="16">
        <f>1896-104</f>
        <v>1792</v>
      </c>
      <c r="J16" s="16">
        <f>696-104</f>
        <v>592</v>
      </c>
      <c r="K16" s="16">
        <v>2000</v>
      </c>
      <c r="L16" s="16">
        <v>1600</v>
      </c>
      <c r="M16" s="16">
        <v>2700</v>
      </c>
      <c r="N16" s="16">
        <v>2430</v>
      </c>
      <c r="O16" s="16">
        <v>3</v>
      </c>
      <c r="P16" s="16">
        <v>3</v>
      </c>
      <c r="Q16" s="17">
        <v>25</v>
      </c>
      <c r="R16" s="16">
        <v>25</v>
      </c>
      <c r="S16" s="16">
        <v>96</v>
      </c>
      <c r="T16" s="16"/>
      <c r="U16" s="15"/>
      <c r="V16" s="15"/>
      <c r="W16" s="15"/>
      <c r="X16" s="16">
        <v>2000</v>
      </c>
    </row>
    <row r="17" spans="1:24" x14ac:dyDescent="0.3">
      <c r="A17" s="27"/>
      <c r="B17" s="54"/>
      <c r="C17" s="54"/>
      <c r="D17" s="30"/>
      <c r="E17" s="29"/>
      <c r="F17" s="31"/>
      <c r="G17" s="113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2"/>
      <c r="T17" s="31"/>
      <c r="U17" s="31"/>
      <c r="V17" s="31"/>
      <c r="W17" s="31"/>
      <c r="X17" s="31"/>
    </row>
    <row r="18" spans="1:24" ht="20.25" customHeight="1" thickBot="1" x14ac:dyDescent="0.35">
      <c r="A18" s="55"/>
      <c r="B18" s="22" t="s">
        <v>126</v>
      </c>
      <c r="C18" s="39" t="s">
        <v>60</v>
      </c>
      <c r="D18" s="24">
        <v>2015</v>
      </c>
      <c r="E18" s="108" t="s">
        <v>16</v>
      </c>
      <c r="F18" s="15">
        <v>127</v>
      </c>
      <c r="G18" s="114" t="s">
        <v>10</v>
      </c>
      <c r="H18" s="44">
        <v>1900</v>
      </c>
      <c r="I18" s="44">
        <v>1724</v>
      </c>
      <c r="J18" s="44">
        <v>674</v>
      </c>
      <c r="K18" s="44">
        <v>1650</v>
      </c>
      <c r="L18" s="44">
        <v>1550</v>
      </c>
      <c r="M18" s="44">
        <v>2300</v>
      </c>
      <c r="N18" s="44">
        <v>2210</v>
      </c>
      <c r="O18" s="44">
        <v>3</v>
      </c>
      <c r="P18" s="44">
        <v>3</v>
      </c>
      <c r="Q18" s="17">
        <v>16</v>
      </c>
      <c r="R18" s="45">
        <v>16</v>
      </c>
      <c r="S18" s="56">
        <v>36</v>
      </c>
      <c r="T18" s="57" t="s">
        <v>95</v>
      </c>
      <c r="U18" s="44">
        <v>2</v>
      </c>
      <c r="V18" s="44">
        <v>2</v>
      </c>
      <c r="W18" s="58">
        <v>1</v>
      </c>
      <c r="X18" s="44">
        <v>1850</v>
      </c>
    </row>
    <row r="19" spans="1:24" ht="6.75" customHeight="1" thickBot="1" x14ac:dyDescent="0.35">
      <c r="A19" s="27"/>
      <c r="B19" s="48"/>
      <c r="C19" s="48"/>
      <c r="D19" s="49"/>
      <c r="E19" s="48"/>
      <c r="F19" s="50"/>
      <c r="G19" s="116"/>
      <c r="H19" s="50"/>
      <c r="I19" s="50"/>
      <c r="J19" s="50"/>
      <c r="K19" s="50"/>
      <c r="L19" s="50"/>
      <c r="M19" s="50"/>
      <c r="N19" s="50"/>
      <c r="O19" s="50"/>
      <c r="P19" s="50"/>
      <c r="Q19" s="31"/>
      <c r="R19" s="31"/>
      <c r="S19" s="51"/>
      <c r="T19" s="50"/>
      <c r="U19" s="50"/>
      <c r="V19" s="50"/>
      <c r="W19" s="50"/>
      <c r="X19" s="50"/>
    </row>
    <row r="20" spans="1:24" x14ac:dyDescent="0.3">
      <c r="A20" s="59"/>
      <c r="B20" s="42" t="s">
        <v>61</v>
      </c>
      <c r="C20" s="13" t="s">
        <v>58</v>
      </c>
      <c r="D20" s="14" t="s">
        <v>45</v>
      </c>
      <c r="E20" s="108" t="s">
        <v>16</v>
      </c>
      <c r="F20" s="16">
        <v>127</v>
      </c>
      <c r="G20" s="114" t="s">
        <v>10</v>
      </c>
      <c r="H20" s="16">
        <v>2500</v>
      </c>
      <c r="I20" s="16">
        <f>1600-140</f>
        <v>1460</v>
      </c>
      <c r="J20" s="16">
        <f>900-140</f>
        <v>760</v>
      </c>
      <c r="K20" s="16">
        <v>1800</v>
      </c>
      <c r="L20" s="16">
        <v>1400</v>
      </c>
      <c r="M20" s="16"/>
      <c r="N20" s="16"/>
      <c r="O20" s="16">
        <v>3</v>
      </c>
      <c r="P20" s="16">
        <v>3</v>
      </c>
      <c r="Q20" s="17">
        <v>20</v>
      </c>
      <c r="R20" s="16">
        <v>10</v>
      </c>
      <c r="S20" s="16">
        <v>24</v>
      </c>
      <c r="T20" s="16" t="s">
        <v>95</v>
      </c>
      <c r="U20" s="16">
        <v>2</v>
      </c>
      <c r="V20" s="16">
        <v>2</v>
      </c>
      <c r="W20" s="16">
        <v>1</v>
      </c>
      <c r="X20" s="16">
        <v>1600</v>
      </c>
    </row>
    <row r="21" spans="1:24" ht="20.25" customHeight="1" thickBot="1" x14ac:dyDescent="0.35">
      <c r="A21" s="60"/>
      <c r="B21" s="22" t="s">
        <v>62</v>
      </c>
      <c r="C21" s="13" t="s">
        <v>47</v>
      </c>
      <c r="D21" s="61" t="s">
        <v>63</v>
      </c>
      <c r="E21" s="109" t="s">
        <v>16</v>
      </c>
      <c r="F21" s="15">
        <v>127</v>
      </c>
      <c r="G21" s="117" t="s">
        <v>10</v>
      </c>
      <c r="H21" s="15">
        <v>2500</v>
      </c>
      <c r="I21" s="37">
        <v>1494</v>
      </c>
      <c r="J21" s="37">
        <v>794</v>
      </c>
      <c r="K21" s="37">
        <v>1800</v>
      </c>
      <c r="L21" s="37">
        <v>1400</v>
      </c>
      <c r="M21" s="37">
        <v>2500</v>
      </c>
      <c r="N21" s="37">
        <v>2110</v>
      </c>
      <c r="O21" s="62" t="s">
        <v>64</v>
      </c>
      <c r="P21" s="62" t="s">
        <v>64</v>
      </c>
      <c r="Q21" s="17">
        <v>32</v>
      </c>
      <c r="R21" s="16">
        <v>16</v>
      </c>
      <c r="S21" s="15">
        <v>36</v>
      </c>
      <c r="T21" s="15" t="s">
        <v>95</v>
      </c>
      <c r="U21" s="63" t="s">
        <v>65</v>
      </c>
      <c r="V21" s="63" t="s">
        <v>65</v>
      </c>
      <c r="W21" s="37">
        <v>1</v>
      </c>
      <c r="X21" s="37">
        <v>1600</v>
      </c>
    </row>
    <row r="22" spans="1:24" x14ac:dyDescent="0.3">
      <c r="A22" s="64"/>
      <c r="B22" s="65" t="s">
        <v>66</v>
      </c>
      <c r="C22" s="13" t="s">
        <v>60</v>
      </c>
      <c r="D22" s="61" t="s">
        <v>67</v>
      </c>
      <c r="E22" s="108" t="s">
        <v>16</v>
      </c>
      <c r="F22" s="15">
        <v>127</v>
      </c>
      <c r="G22" s="114" t="s">
        <v>10</v>
      </c>
      <c r="H22" s="16">
        <v>2476</v>
      </c>
      <c r="I22" s="16">
        <v>1576</v>
      </c>
      <c r="J22" s="16">
        <v>626</v>
      </c>
      <c r="K22" s="16">
        <v>1550</v>
      </c>
      <c r="L22" s="16">
        <v>1450</v>
      </c>
      <c r="M22" s="16">
        <v>2200</v>
      </c>
      <c r="N22" s="16">
        <v>2100</v>
      </c>
      <c r="O22" s="16">
        <v>3</v>
      </c>
      <c r="P22" s="66" t="s">
        <v>68</v>
      </c>
      <c r="Q22" s="17">
        <v>10</v>
      </c>
      <c r="R22" s="16">
        <v>10</v>
      </c>
      <c r="S22" s="26">
        <v>36</v>
      </c>
      <c r="T22" s="67" t="s">
        <v>95</v>
      </c>
      <c r="U22" s="19" t="s">
        <v>52</v>
      </c>
      <c r="V22" s="19" t="s">
        <v>52</v>
      </c>
      <c r="W22" s="16"/>
      <c r="X22" s="16">
        <v>1600</v>
      </c>
    </row>
    <row r="23" spans="1:24" ht="20.25" customHeight="1" thickBot="1" x14ac:dyDescent="0.35">
      <c r="A23" s="60"/>
      <c r="B23" s="68" t="s">
        <v>69</v>
      </c>
      <c r="C23" s="13" t="s">
        <v>60</v>
      </c>
      <c r="D23" s="61" t="s">
        <v>67</v>
      </c>
      <c r="E23" s="108" t="s">
        <v>16</v>
      </c>
      <c r="F23" s="15">
        <v>127</v>
      </c>
      <c r="G23" s="114" t="s">
        <v>10</v>
      </c>
      <c r="H23" s="16">
        <v>2476</v>
      </c>
      <c r="I23" s="16">
        <v>1576</v>
      </c>
      <c r="J23" s="16">
        <v>626</v>
      </c>
      <c r="K23" s="16">
        <v>1550</v>
      </c>
      <c r="L23" s="16">
        <v>1450</v>
      </c>
      <c r="M23" s="16">
        <v>2200</v>
      </c>
      <c r="N23" s="16">
        <v>2100</v>
      </c>
      <c r="O23" s="16">
        <v>3</v>
      </c>
      <c r="P23" s="16">
        <v>3</v>
      </c>
      <c r="Q23" s="17">
        <v>10</v>
      </c>
      <c r="R23" s="16">
        <v>10</v>
      </c>
      <c r="S23" s="26">
        <v>36</v>
      </c>
      <c r="T23" s="67" t="s">
        <v>95</v>
      </c>
      <c r="U23" s="19" t="s">
        <v>52</v>
      </c>
      <c r="V23" s="16">
        <v>2</v>
      </c>
      <c r="W23" s="16"/>
      <c r="X23" s="16">
        <v>1600</v>
      </c>
    </row>
    <row r="24" spans="1:24" ht="9" customHeight="1" thickBot="1" x14ac:dyDescent="0.35">
      <c r="A24" s="27"/>
      <c r="B24" s="69"/>
      <c r="C24" s="70"/>
      <c r="D24" s="71"/>
      <c r="E24" s="72"/>
      <c r="F24" s="73"/>
      <c r="G24" s="118"/>
      <c r="H24" s="74"/>
      <c r="I24" s="74"/>
      <c r="J24" s="74"/>
      <c r="K24" s="74"/>
      <c r="L24" s="74"/>
      <c r="M24" s="74"/>
      <c r="N24" s="74"/>
      <c r="O24" s="31"/>
      <c r="P24" s="31"/>
      <c r="Q24" s="31"/>
      <c r="R24" s="31"/>
      <c r="S24" s="32"/>
      <c r="T24" s="31"/>
      <c r="U24" s="31"/>
      <c r="V24" s="31"/>
      <c r="W24" s="31"/>
      <c r="X24" s="74"/>
    </row>
    <row r="25" spans="1:24" x14ac:dyDescent="0.3">
      <c r="A25" s="75"/>
      <c r="B25" s="22" t="s">
        <v>70</v>
      </c>
      <c r="C25" s="13" t="s">
        <v>71</v>
      </c>
      <c r="D25" s="61" t="s">
        <v>72</v>
      </c>
      <c r="E25" s="108" t="s">
        <v>16</v>
      </c>
      <c r="F25" s="15">
        <v>127</v>
      </c>
      <c r="G25" s="114" t="s">
        <v>10</v>
      </c>
      <c r="H25" s="15">
        <v>2300</v>
      </c>
      <c r="I25" s="76">
        <v>1330</v>
      </c>
      <c r="J25" s="76">
        <v>800</v>
      </c>
      <c r="K25" s="15">
        <v>1600</v>
      </c>
      <c r="L25" s="15">
        <v>1350</v>
      </c>
      <c r="M25" s="15">
        <v>2250</v>
      </c>
      <c r="N25" s="15">
        <v>2030</v>
      </c>
      <c r="O25" s="15">
        <v>3</v>
      </c>
      <c r="P25" s="66" t="s">
        <v>64</v>
      </c>
      <c r="Q25" s="17">
        <v>29</v>
      </c>
      <c r="R25" s="79">
        <v>13</v>
      </c>
      <c r="S25" s="15">
        <v>32</v>
      </c>
      <c r="T25" s="15" t="s">
        <v>95</v>
      </c>
      <c r="U25" s="15">
        <v>2</v>
      </c>
      <c r="V25" s="19" t="s">
        <v>52</v>
      </c>
      <c r="W25" s="15">
        <v>0</v>
      </c>
      <c r="X25" s="15">
        <v>1300</v>
      </c>
    </row>
    <row r="26" spans="1:24" x14ac:dyDescent="0.3">
      <c r="A26" s="77"/>
      <c r="B26" s="42" t="s">
        <v>73</v>
      </c>
      <c r="C26" s="13" t="s">
        <v>71</v>
      </c>
      <c r="D26" s="14" t="s">
        <v>72</v>
      </c>
      <c r="E26" s="108" t="s">
        <v>16</v>
      </c>
      <c r="F26" s="16">
        <v>127</v>
      </c>
      <c r="G26" s="114" t="s">
        <v>10</v>
      </c>
      <c r="H26" s="16">
        <v>2300</v>
      </c>
      <c r="I26" s="78">
        <v>1330</v>
      </c>
      <c r="J26" s="78">
        <v>800</v>
      </c>
      <c r="K26" s="16">
        <v>1600</v>
      </c>
      <c r="L26" s="16">
        <v>1350</v>
      </c>
      <c r="M26" s="16">
        <v>2250</v>
      </c>
      <c r="N26" s="16">
        <v>2030</v>
      </c>
      <c r="O26" s="16">
        <v>2</v>
      </c>
      <c r="P26" s="66" t="s">
        <v>64</v>
      </c>
      <c r="Q26" s="17">
        <v>29</v>
      </c>
      <c r="R26" s="79">
        <v>13</v>
      </c>
      <c r="S26" s="16">
        <v>32</v>
      </c>
      <c r="T26" s="16" t="s">
        <v>95</v>
      </c>
      <c r="U26" s="15">
        <v>2</v>
      </c>
      <c r="V26" s="19" t="s">
        <v>52</v>
      </c>
      <c r="W26" s="16">
        <v>0</v>
      </c>
      <c r="X26" s="16">
        <v>1300</v>
      </c>
    </row>
    <row r="27" spans="1:24" x14ac:dyDescent="0.3">
      <c r="A27" s="77"/>
      <c r="B27" s="42" t="s">
        <v>74</v>
      </c>
      <c r="C27" s="13" t="s">
        <v>47</v>
      </c>
      <c r="D27" s="80" t="s">
        <v>45</v>
      </c>
      <c r="E27" s="108" t="s">
        <v>16</v>
      </c>
      <c r="F27" s="16">
        <v>127</v>
      </c>
      <c r="G27" s="114" t="s">
        <v>10</v>
      </c>
      <c r="H27" s="16">
        <v>2250</v>
      </c>
      <c r="I27" s="16">
        <v>1300</v>
      </c>
      <c r="J27" s="16">
        <v>700</v>
      </c>
      <c r="K27" s="16">
        <v>1500</v>
      </c>
      <c r="L27" s="16">
        <v>1250</v>
      </c>
      <c r="M27" s="16">
        <v>2140</v>
      </c>
      <c r="N27" s="16">
        <v>1960</v>
      </c>
      <c r="O27" s="16">
        <v>2</v>
      </c>
      <c r="P27" s="16">
        <v>3</v>
      </c>
      <c r="Q27" s="17">
        <v>14</v>
      </c>
      <c r="R27" s="16">
        <v>14</v>
      </c>
      <c r="S27" s="16">
        <v>44</v>
      </c>
      <c r="T27" s="67" t="s">
        <v>95</v>
      </c>
      <c r="U27" s="15">
        <v>2</v>
      </c>
      <c r="V27" s="19" t="s">
        <v>52</v>
      </c>
      <c r="W27" s="16">
        <v>1</v>
      </c>
      <c r="X27" s="16">
        <v>1300</v>
      </c>
    </row>
    <row r="28" spans="1:24" x14ac:dyDescent="0.3">
      <c r="A28" s="77"/>
      <c r="B28" s="68" t="s">
        <v>75</v>
      </c>
      <c r="C28" s="13" t="s">
        <v>76</v>
      </c>
      <c r="D28" s="81" t="s">
        <v>77</v>
      </c>
      <c r="E28" s="108" t="s">
        <v>16</v>
      </c>
      <c r="F28" s="16">
        <v>127</v>
      </c>
      <c r="G28" s="114" t="s">
        <v>10</v>
      </c>
      <c r="H28" s="16">
        <v>2200</v>
      </c>
      <c r="I28" s="16">
        <f>1450-72</f>
        <v>1378</v>
      </c>
      <c r="J28" s="16">
        <f>650-72</f>
        <v>578</v>
      </c>
      <c r="K28" s="16">
        <v>1380</v>
      </c>
      <c r="L28" s="16">
        <v>1280</v>
      </c>
      <c r="M28" s="16">
        <v>1975</v>
      </c>
      <c r="N28" s="16">
        <v>1875</v>
      </c>
      <c r="O28" s="16">
        <v>3</v>
      </c>
      <c r="P28" s="16">
        <v>3</v>
      </c>
      <c r="Q28" s="17">
        <v>10</v>
      </c>
      <c r="R28" s="16">
        <v>10</v>
      </c>
      <c r="S28" s="16">
        <v>36</v>
      </c>
      <c r="T28" s="67" t="s">
        <v>95</v>
      </c>
      <c r="U28" s="19" t="s">
        <v>52</v>
      </c>
      <c r="V28" s="19" t="s">
        <v>52</v>
      </c>
      <c r="W28" s="16">
        <v>1</v>
      </c>
      <c r="X28" s="16">
        <v>1300</v>
      </c>
    </row>
    <row r="29" spans="1:24" ht="20.25" customHeight="1" thickBot="1" x14ac:dyDescent="0.35">
      <c r="A29" s="82"/>
      <c r="B29" s="42" t="s">
        <v>78</v>
      </c>
      <c r="C29" s="13" t="s">
        <v>76</v>
      </c>
      <c r="D29" s="80" t="s">
        <v>77</v>
      </c>
      <c r="E29" s="108" t="s">
        <v>16</v>
      </c>
      <c r="F29" s="16">
        <v>127</v>
      </c>
      <c r="G29" s="114" t="s">
        <v>10</v>
      </c>
      <c r="H29" s="16">
        <v>2200</v>
      </c>
      <c r="I29" s="16">
        <v>1378</v>
      </c>
      <c r="J29" s="16">
        <v>578</v>
      </c>
      <c r="K29" s="16">
        <v>1380</v>
      </c>
      <c r="L29" s="16">
        <v>1280</v>
      </c>
      <c r="M29" s="16">
        <v>1975</v>
      </c>
      <c r="N29" s="16">
        <v>1875</v>
      </c>
      <c r="O29" s="16">
        <v>3</v>
      </c>
      <c r="P29" s="16">
        <v>3</v>
      </c>
      <c r="Q29" s="17">
        <v>14</v>
      </c>
      <c r="R29" s="16">
        <v>14</v>
      </c>
      <c r="S29" s="16">
        <v>36</v>
      </c>
      <c r="T29" s="67" t="s">
        <v>95</v>
      </c>
      <c r="U29" s="16">
        <v>2</v>
      </c>
      <c r="V29" s="16">
        <v>2</v>
      </c>
      <c r="W29" s="16">
        <v>1</v>
      </c>
      <c r="X29" s="16">
        <v>1300</v>
      </c>
    </row>
    <row r="30" spans="1:24" x14ac:dyDescent="0.3">
      <c r="A30" s="83"/>
      <c r="B30" s="84" t="s">
        <v>79</v>
      </c>
      <c r="C30" s="13" t="s">
        <v>80</v>
      </c>
      <c r="D30" s="61" t="s">
        <v>81</v>
      </c>
      <c r="E30" s="109" t="s">
        <v>16</v>
      </c>
      <c r="F30" s="37">
        <v>127</v>
      </c>
      <c r="G30" s="114" t="s">
        <v>10</v>
      </c>
      <c r="H30" s="37">
        <v>2950</v>
      </c>
      <c r="I30" s="37">
        <v>1325</v>
      </c>
      <c r="J30" s="37">
        <v>696</v>
      </c>
      <c r="K30" s="37">
        <v>1500</v>
      </c>
      <c r="L30" s="37">
        <v>1250</v>
      </c>
      <c r="M30" s="37">
        <v>2210</v>
      </c>
      <c r="N30" s="37">
        <v>1960</v>
      </c>
      <c r="O30" s="37">
        <v>1</v>
      </c>
      <c r="P30" s="37">
        <v>3</v>
      </c>
      <c r="Q30" s="17">
        <v>16</v>
      </c>
      <c r="R30" s="16">
        <v>16</v>
      </c>
      <c r="S30" s="85">
        <v>36</v>
      </c>
      <c r="T30" s="15" t="s">
        <v>95</v>
      </c>
      <c r="U30" s="37"/>
      <c r="V30" s="37"/>
      <c r="W30" s="37"/>
      <c r="X30" s="37">
        <v>1300</v>
      </c>
    </row>
    <row r="31" spans="1:24" x14ac:dyDescent="0.3">
      <c r="A31" s="27"/>
      <c r="B31" s="86"/>
      <c r="C31" s="87"/>
      <c r="D31" s="88"/>
      <c r="E31" s="54"/>
      <c r="F31" s="74"/>
      <c r="G31" s="113"/>
      <c r="H31" s="74"/>
      <c r="I31" s="74"/>
      <c r="J31" s="74"/>
      <c r="K31" s="74"/>
      <c r="L31" s="74"/>
      <c r="M31" s="74"/>
      <c r="N31" s="74"/>
      <c r="O31" s="74"/>
      <c r="P31" s="74"/>
      <c r="Q31" s="31"/>
      <c r="R31" s="31"/>
      <c r="S31" s="89"/>
      <c r="T31" s="74"/>
      <c r="U31" s="74"/>
      <c r="V31" s="74"/>
      <c r="W31" s="74"/>
      <c r="X31" s="74"/>
    </row>
    <row r="32" spans="1:24" hidden="1" x14ac:dyDescent="0.3">
      <c r="A32" s="90"/>
      <c r="B32" s="91" t="s">
        <v>82</v>
      </c>
      <c r="C32" s="13" t="s">
        <v>83</v>
      </c>
      <c r="D32" s="92">
        <v>1985</v>
      </c>
      <c r="E32" s="25" t="s">
        <v>84</v>
      </c>
      <c r="F32" s="93">
        <v>127</v>
      </c>
      <c r="G32" s="112" t="s">
        <v>9</v>
      </c>
      <c r="H32" s="93">
        <v>1150</v>
      </c>
      <c r="I32" s="93">
        <v>1008</v>
      </c>
      <c r="J32" s="93">
        <f>350-(46+46)</f>
        <v>258</v>
      </c>
      <c r="K32" s="93">
        <v>1020</v>
      </c>
      <c r="L32" s="93">
        <v>1020</v>
      </c>
      <c r="M32" s="93">
        <v>1600</v>
      </c>
      <c r="N32" s="93">
        <v>1600</v>
      </c>
      <c r="O32" s="93">
        <v>1</v>
      </c>
      <c r="P32" s="93">
        <v>2</v>
      </c>
      <c r="Q32" s="17" t="e">
        <f>R32+#REF!</f>
        <v>#REF!</v>
      </c>
      <c r="R32" s="16">
        <v>12</v>
      </c>
      <c r="S32" s="93">
        <v>16</v>
      </c>
      <c r="T32" s="93" t="s">
        <v>51</v>
      </c>
      <c r="U32" s="93">
        <v>1</v>
      </c>
      <c r="V32" s="93">
        <v>1</v>
      </c>
      <c r="W32" s="93">
        <v>0</v>
      </c>
      <c r="X32" s="93">
        <v>1000</v>
      </c>
    </row>
    <row r="33" spans="1:24" x14ac:dyDescent="0.3">
      <c r="A33" s="90"/>
      <c r="B33" s="91" t="s">
        <v>85</v>
      </c>
      <c r="C33" s="13" t="s">
        <v>83</v>
      </c>
      <c r="D33" s="92">
        <v>1988</v>
      </c>
      <c r="E33" s="107" t="s">
        <v>17</v>
      </c>
      <c r="F33" s="93">
        <v>127</v>
      </c>
      <c r="G33" s="112" t="s">
        <v>9</v>
      </c>
      <c r="H33" s="93">
        <v>1150</v>
      </c>
      <c r="I33" s="93">
        <v>1008</v>
      </c>
      <c r="J33" s="93">
        <v>258</v>
      </c>
      <c r="K33" s="93">
        <v>1020</v>
      </c>
      <c r="L33" s="93">
        <v>1020</v>
      </c>
      <c r="M33" s="93">
        <v>1600</v>
      </c>
      <c r="N33" s="93">
        <v>1600</v>
      </c>
      <c r="O33" s="93">
        <v>1</v>
      </c>
      <c r="P33" s="93">
        <v>2</v>
      </c>
      <c r="Q33" s="17">
        <v>0</v>
      </c>
      <c r="R33" s="16">
        <v>0</v>
      </c>
      <c r="S33" s="93">
        <v>8</v>
      </c>
      <c r="T33" s="93" t="s">
        <v>95</v>
      </c>
      <c r="U33" s="93">
        <v>1</v>
      </c>
      <c r="V33" s="93">
        <v>1</v>
      </c>
      <c r="W33" s="93">
        <v>0</v>
      </c>
      <c r="X33" s="93">
        <v>1000</v>
      </c>
    </row>
    <row r="34" spans="1:24" ht="16.2" thickBot="1" x14ac:dyDescent="0.35">
      <c r="A34" s="90"/>
      <c r="B34" s="91" t="s">
        <v>86</v>
      </c>
      <c r="C34" s="13" t="s">
        <v>47</v>
      </c>
      <c r="D34" s="92">
        <v>1994</v>
      </c>
      <c r="E34" s="108" t="s">
        <v>16</v>
      </c>
      <c r="F34" s="93">
        <v>127</v>
      </c>
      <c r="G34" s="112" t="s">
        <v>9</v>
      </c>
      <c r="H34" s="93">
        <v>1200</v>
      </c>
      <c r="I34" s="93">
        <v>1130</v>
      </c>
      <c r="J34" s="93">
        <v>730</v>
      </c>
      <c r="K34" s="93">
        <v>1400</v>
      </c>
      <c r="L34" s="93">
        <v>1120</v>
      </c>
      <c r="M34" s="93">
        <v>1750</v>
      </c>
      <c r="N34" s="93">
        <v>1500</v>
      </c>
      <c r="O34" s="93">
        <v>2</v>
      </c>
      <c r="P34" s="93">
        <v>3</v>
      </c>
      <c r="Q34" s="17">
        <v>28</v>
      </c>
      <c r="R34" s="16">
        <v>8</v>
      </c>
      <c r="S34" s="93">
        <v>28</v>
      </c>
      <c r="T34" s="93" t="s">
        <v>95</v>
      </c>
      <c r="U34" s="93">
        <v>1</v>
      </c>
      <c r="V34" s="93">
        <v>1</v>
      </c>
      <c r="W34" s="93">
        <v>0</v>
      </c>
      <c r="X34" s="93">
        <v>1000</v>
      </c>
    </row>
    <row r="35" spans="1:24" x14ac:dyDescent="0.3">
      <c r="A35" s="94"/>
      <c r="B35" s="95"/>
      <c r="C35" s="87"/>
      <c r="D35" s="30"/>
      <c r="E35" s="29"/>
      <c r="F35" s="31"/>
      <c r="G35" s="113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31"/>
      <c r="U35" s="31"/>
      <c r="V35" s="31"/>
      <c r="W35" s="31"/>
      <c r="X35" s="31"/>
    </row>
    <row r="36" spans="1:24" x14ac:dyDescent="0.3">
      <c r="A36" s="96"/>
      <c r="B36" s="97" t="s">
        <v>87</v>
      </c>
      <c r="C36" s="13" t="s">
        <v>76</v>
      </c>
      <c r="D36" s="92">
        <v>2019</v>
      </c>
      <c r="E36" s="107" t="s">
        <v>17</v>
      </c>
      <c r="F36" s="93">
        <v>127</v>
      </c>
      <c r="G36" s="114" t="s">
        <v>10</v>
      </c>
      <c r="H36" s="93">
        <v>1500</v>
      </c>
      <c r="I36" s="93">
        <v>1100</v>
      </c>
      <c r="J36" s="93">
        <v>500</v>
      </c>
      <c r="K36" s="93">
        <v>1180</v>
      </c>
      <c r="L36" s="93">
        <v>1000</v>
      </c>
      <c r="M36" s="93">
        <v>1560</v>
      </c>
      <c r="N36" s="93">
        <v>1520</v>
      </c>
      <c r="O36" s="93">
        <v>3</v>
      </c>
      <c r="P36" s="93">
        <v>3</v>
      </c>
      <c r="Q36" s="17">
        <v>12</v>
      </c>
      <c r="R36" s="16">
        <v>12</v>
      </c>
      <c r="S36" s="93">
        <v>24</v>
      </c>
      <c r="T36" s="93" t="s">
        <v>95</v>
      </c>
      <c r="U36" s="93">
        <v>1</v>
      </c>
      <c r="V36" s="93">
        <v>1</v>
      </c>
      <c r="W36" s="93">
        <v>0</v>
      </c>
      <c r="X36" s="93">
        <v>900</v>
      </c>
    </row>
    <row r="37" spans="1:24" x14ac:dyDescent="0.3">
      <c r="A37" s="99"/>
      <c r="B37" s="97" t="s">
        <v>88</v>
      </c>
      <c r="C37" s="13" t="s">
        <v>44</v>
      </c>
      <c r="D37" s="100" t="s">
        <v>89</v>
      </c>
      <c r="E37" s="107" t="s">
        <v>17</v>
      </c>
      <c r="F37" s="98">
        <v>127</v>
      </c>
      <c r="G37" s="114" t="s">
        <v>10</v>
      </c>
      <c r="H37" s="93">
        <v>1600</v>
      </c>
      <c r="I37" s="93">
        <v>1142</v>
      </c>
      <c r="J37" s="93">
        <v>242</v>
      </c>
      <c r="K37" s="93">
        <v>1100</v>
      </c>
      <c r="L37" s="93">
        <v>960</v>
      </c>
      <c r="M37" s="93">
        <v>1510</v>
      </c>
      <c r="N37" s="93">
        <v>1440</v>
      </c>
      <c r="O37" s="93">
        <v>2</v>
      </c>
      <c r="P37" s="93">
        <v>2</v>
      </c>
      <c r="Q37" s="17">
        <v>10</v>
      </c>
      <c r="R37" s="16">
        <v>10</v>
      </c>
      <c r="S37" s="93">
        <v>24</v>
      </c>
      <c r="T37" s="93" t="s">
        <v>95</v>
      </c>
      <c r="U37" s="93">
        <v>1</v>
      </c>
      <c r="V37" s="93">
        <v>1</v>
      </c>
      <c r="W37" s="93">
        <v>0</v>
      </c>
      <c r="X37" s="93">
        <v>650</v>
      </c>
    </row>
    <row r="38" spans="1:24" x14ac:dyDescent="0.3">
      <c r="A38" s="99"/>
      <c r="B38" s="97" t="s">
        <v>90</v>
      </c>
      <c r="C38" s="13" t="s">
        <v>44</v>
      </c>
      <c r="D38" s="100" t="s">
        <v>89</v>
      </c>
      <c r="E38" s="107" t="s">
        <v>17</v>
      </c>
      <c r="F38" s="93">
        <v>127</v>
      </c>
      <c r="G38" s="114" t="s">
        <v>10</v>
      </c>
      <c r="H38" s="93">
        <v>1600</v>
      </c>
      <c r="I38" s="93">
        <v>1142</v>
      </c>
      <c r="J38" s="93">
        <v>242</v>
      </c>
      <c r="K38" s="93">
        <v>1100</v>
      </c>
      <c r="L38" s="93">
        <v>960</v>
      </c>
      <c r="M38" s="93">
        <v>1510</v>
      </c>
      <c r="N38" s="93">
        <v>1440</v>
      </c>
      <c r="O38" s="93">
        <v>2</v>
      </c>
      <c r="P38" s="93">
        <v>2</v>
      </c>
      <c r="Q38" s="17">
        <v>10</v>
      </c>
      <c r="R38" s="16">
        <v>10</v>
      </c>
      <c r="S38" s="93">
        <v>24</v>
      </c>
      <c r="T38" s="93" t="s">
        <v>95</v>
      </c>
      <c r="U38" s="93">
        <v>1</v>
      </c>
      <c r="V38" s="93">
        <v>1</v>
      </c>
      <c r="W38" s="93">
        <v>0</v>
      </c>
      <c r="X38" s="93">
        <v>650</v>
      </c>
    </row>
    <row r="39" spans="1:24" x14ac:dyDescent="0.3">
      <c r="A39" s="99"/>
      <c r="B39" s="97" t="s">
        <v>91</v>
      </c>
      <c r="C39" s="13" t="s">
        <v>47</v>
      </c>
      <c r="D39" s="100" t="s">
        <v>92</v>
      </c>
      <c r="E39" s="107" t="s">
        <v>17</v>
      </c>
      <c r="F39" s="93">
        <v>127</v>
      </c>
      <c r="G39" s="114" t="s">
        <v>10</v>
      </c>
      <c r="H39" s="93">
        <f>1750-110</f>
        <v>1640</v>
      </c>
      <c r="I39" s="93">
        <v>1142</v>
      </c>
      <c r="J39" s="93">
        <f>600-110</f>
        <v>490</v>
      </c>
      <c r="K39" s="93">
        <v>1000</v>
      </c>
      <c r="L39" s="93">
        <v>930</v>
      </c>
      <c r="M39" s="93">
        <v>1520</v>
      </c>
      <c r="N39" s="93">
        <v>1370</v>
      </c>
      <c r="O39" s="93">
        <v>3</v>
      </c>
      <c r="P39" s="93">
        <v>3</v>
      </c>
      <c r="Q39" s="17">
        <v>14</v>
      </c>
      <c r="R39" s="16">
        <v>14</v>
      </c>
      <c r="S39" s="93">
        <v>12</v>
      </c>
      <c r="T39" s="93" t="s">
        <v>95</v>
      </c>
      <c r="U39" s="93">
        <v>1</v>
      </c>
      <c r="V39" s="93">
        <v>1</v>
      </c>
      <c r="W39" s="93"/>
      <c r="X39" s="93">
        <v>650</v>
      </c>
    </row>
    <row r="40" spans="1:24" x14ac:dyDescent="0.3">
      <c r="A40" s="27"/>
      <c r="B40" s="101" t="s">
        <v>93</v>
      </c>
      <c r="C40" s="102"/>
      <c r="D40" s="103"/>
      <c r="E40" s="102"/>
      <c r="F40" s="104"/>
      <c r="G40" s="119"/>
      <c r="H40" s="104"/>
      <c r="I40" s="104"/>
      <c r="J40" s="104"/>
      <c r="K40" s="104"/>
      <c r="L40" s="104"/>
      <c r="M40" s="104"/>
      <c r="N40" s="104"/>
      <c r="O40" s="104"/>
      <c r="P40" s="104"/>
      <c r="Q40" s="105"/>
      <c r="R40" s="104"/>
      <c r="S40" s="104"/>
      <c r="T40" s="104"/>
      <c r="U40" s="104"/>
      <c r="V40" s="104"/>
      <c r="W40" s="104"/>
    </row>
    <row r="41" spans="1:24" x14ac:dyDescent="0.3">
      <c r="A41" s="27"/>
      <c r="B41" s="53" t="s">
        <v>94</v>
      </c>
      <c r="C41" s="102"/>
      <c r="D41" s="103"/>
      <c r="E41" s="102"/>
      <c r="F41" s="104"/>
      <c r="G41" s="119"/>
      <c r="H41" s="104"/>
      <c r="J41" s="104"/>
      <c r="K41" s="104"/>
      <c r="L41" s="104"/>
      <c r="M41" s="104"/>
      <c r="N41" s="104"/>
      <c r="O41" s="104"/>
      <c r="P41" s="104"/>
      <c r="Q41" s="105"/>
      <c r="R41" s="104"/>
      <c r="S41" s="104"/>
      <c r="T41" s="104"/>
      <c r="U41" s="104"/>
      <c r="V41" s="104"/>
      <c r="W41" s="104"/>
    </row>
    <row r="42" spans="1:24" x14ac:dyDescent="0.3">
      <c r="A42" s="27"/>
      <c r="B42" s="33"/>
      <c r="C42" s="102"/>
      <c r="D42" s="103"/>
      <c r="E42" s="102"/>
      <c r="F42" s="104"/>
      <c r="G42" s="119"/>
      <c r="H42" s="104"/>
      <c r="J42" s="104"/>
      <c r="K42" s="104"/>
      <c r="L42" s="104"/>
      <c r="M42" s="104"/>
      <c r="N42" s="104"/>
      <c r="O42" s="104"/>
      <c r="P42" s="104"/>
      <c r="Q42" s="105"/>
      <c r="R42" s="104"/>
      <c r="S42" s="104"/>
      <c r="T42" s="104"/>
      <c r="U42" s="104"/>
      <c r="V42" s="104"/>
      <c r="W42" s="104"/>
    </row>
  </sheetData>
  <mergeCells count="31">
    <mergeCell ref="X2:X4"/>
    <mergeCell ref="V3:V4"/>
    <mergeCell ref="W3:W4"/>
    <mergeCell ref="S3:S4"/>
    <mergeCell ref="T3:T4"/>
    <mergeCell ref="S2:T2"/>
    <mergeCell ref="U2:W2"/>
    <mergeCell ref="U3:U4"/>
    <mergeCell ref="L3:L4"/>
    <mergeCell ref="M3:M4"/>
    <mergeCell ref="N3:N4"/>
    <mergeCell ref="Q2:R2"/>
    <mergeCell ref="Q3:Q4"/>
    <mergeCell ref="O3:O4"/>
    <mergeCell ref="P3:P4"/>
    <mergeCell ref="C1:E1"/>
    <mergeCell ref="H1:S1"/>
    <mergeCell ref="A2:A4"/>
    <mergeCell ref="B2:B4"/>
    <mergeCell ref="C2:C4"/>
    <mergeCell ref="D2:D4"/>
    <mergeCell ref="E2:E4"/>
    <mergeCell ref="F2:F4"/>
    <mergeCell ref="G2:G4"/>
    <mergeCell ref="H2:N2"/>
    <mergeCell ref="O2:P2"/>
    <mergeCell ref="H3:H4"/>
    <mergeCell ref="I3:I4"/>
    <mergeCell ref="J3:J4"/>
    <mergeCell ref="R3:R4"/>
    <mergeCell ref="K3:K4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D9846-2B88-46D3-86D4-09CA6EE8C8EF}">
  <sheetPr codeName="Feuil3"/>
  <dimension ref="D1:R25"/>
  <sheetViews>
    <sheetView topLeftCell="B1" zoomScaleNormal="100" workbookViewId="0">
      <selection activeCell="E2" sqref="E2"/>
    </sheetView>
  </sheetViews>
  <sheetFormatPr baseColWidth="10" defaultRowHeight="14.4" x14ac:dyDescent="0.3"/>
  <cols>
    <col min="2" max="2" width="21.21875" customWidth="1"/>
    <col min="3" max="3" width="18" customWidth="1"/>
    <col min="4" max="4" width="10.21875" customWidth="1"/>
    <col min="5" max="5" width="9.6640625" customWidth="1"/>
    <col min="6" max="6" width="10.77734375" customWidth="1"/>
    <col min="7" max="7" width="14.88671875" customWidth="1"/>
    <col min="16" max="16" width="18.6640625" customWidth="1"/>
    <col min="17" max="17" width="29" customWidth="1"/>
  </cols>
  <sheetData>
    <row r="1" spans="4:18" ht="18.600000000000001" customHeight="1" x14ac:dyDescent="0.3">
      <c r="D1" s="128" t="s">
        <v>114</v>
      </c>
      <c r="E1" s="129" t="s">
        <v>115</v>
      </c>
      <c r="F1" s="129" t="s">
        <v>116</v>
      </c>
      <c r="G1" s="183" t="s">
        <v>120</v>
      </c>
      <c r="H1" s="183"/>
      <c r="I1" s="183"/>
      <c r="J1" s="183"/>
      <c r="K1" s="183"/>
      <c r="L1" s="183"/>
      <c r="M1" s="183"/>
      <c r="N1" s="183"/>
      <c r="O1" s="183"/>
      <c r="P1" s="184"/>
      <c r="R1" s="42" t="s">
        <v>123</v>
      </c>
    </row>
    <row r="2" spans="4:18" ht="30" customHeight="1" thickBot="1" x14ac:dyDescent="0.35">
      <c r="D2" s="140" t="s">
        <v>123</v>
      </c>
      <c r="E2" s="130">
        <v>978</v>
      </c>
      <c r="F2" s="126" t="s">
        <v>121</v>
      </c>
      <c r="G2" s="125" t="s">
        <v>117</v>
      </c>
      <c r="H2" s="125" t="s">
        <v>118</v>
      </c>
      <c r="I2" s="125" t="s">
        <v>119</v>
      </c>
      <c r="J2" s="267" t="s">
        <v>99</v>
      </c>
      <c r="K2" s="125" t="s">
        <v>15</v>
      </c>
      <c r="L2" s="138" t="s">
        <v>103</v>
      </c>
      <c r="M2" s="138" t="s">
        <v>104</v>
      </c>
      <c r="N2" s="138" t="s">
        <v>24</v>
      </c>
      <c r="O2" s="125" t="s">
        <v>101</v>
      </c>
      <c r="P2" s="127" t="s">
        <v>97</v>
      </c>
      <c r="Q2" s="266"/>
      <c r="R2" s="42" t="s">
        <v>122</v>
      </c>
    </row>
    <row r="3" spans="4:18" ht="30" customHeight="1" x14ac:dyDescent="0.3">
      <c r="D3" s="139"/>
      <c r="G3" s="121"/>
      <c r="H3" s="121"/>
      <c r="I3" s="121"/>
      <c r="J3" s="121" t="s">
        <v>150</v>
      </c>
      <c r="K3" s="122"/>
      <c r="L3" s="123"/>
      <c r="M3" s="123"/>
      <c r="N3" s="123"/>
      <c r="O3" s="122"/>
      <c r="P3" s="124"/>
      <c r="R3" s="42" t="s">
        <v>54</v>
      </c>
    </row>
    <row r="4" spans="4:18" ht="30" customHeight="1" x14ac:dyDescent="0.3">
      <c r="D4" s="139"/>
      <c r="G4" s="121"/>
      <c r="H4" s="121"/>
      <c r="I4" s="121"/>
      <c r="J4" s="121"/>
      <c r="K4" s="122"/>
      <c r="L4" s="123"/>
      <c r="M4" s="123"/>
      <c r="N4" s="123"/>
      <c r="O4" s="122"/>
      <c r="P4" s="124"/>
      <c r="R4" s="42" t="s">
        <v>55</v>
      </c>
    </row>
    <row r="5" spans="4:18" ht="30" customHeight="1" x14ac:dyDescent="0.3">
      <c r="D5" s="139"/>
      <c r="G5" s="121"/>
      <c r="H5" s="121"/>
      <c r="I5" s="121"/>
      <c r="J5" s="121"/>
      <c r="K5" s="122"/>
      <c r="L5" s="123"/>
      <c r="M5" s="123"/>
      <c r="N5" s="123"/>
      <c r="O5" s="122"/>
      <c r="P5" s="124"/>
      <c r="R5" s="42" t="s">
        <v>56</v>
      </c>
    </row>
    <row r="6" spans="4:18" ht="30" customHeight="1" x14ac:dyDescent="0.3">
      <c r="D6" s="139"/>
      <c r="G6" s="121"/>
      <c r="H6" s="121"/>
      <c r="I6" s="121"/>
      <c r="J6" s="121"/>
      <c r="K6" s="122"/>
      <c r="L6" s="123"/>
      <c r="M6" s="123"/>
      <c r="N6" s="123"/>
      <c r="O6" s="122"/>
      <c r="P6" s="124"/>
      <c r="R6" s="42" t="s">
        <v>57</v>
      </c>
    </row>
    <row r="7" spans="4:18" ht="30" customHeight="1" x14ac:dyDescent="0.3">
      <c r="R7" s="42" t="s">
        <v>59</v>
      </c>
    </row>
    <row r="8" spans="4:18" ht="30" customHeight="1" x14ac:dyDescent="0.3">
      <c r="D8" s="139"/>
      <c r="R8" s="42" t="s">
        <v>126</v>
      </c>
    </row>
    <row r="9" spans="4:18" ht="30" customHeight="1" x14ac:dyDescent="0.3">
      <c r="D9" s="139"/>
      <c r="R9" s="42" t="s">
        <v>61</v>
      </c>
    </row>
    <row r="10" spans="4:18" ht="30" customHeight="1" x14ac:dyDescent="0.3">
      <c r="D10" s="139"/>
      <c r="R10" s="42" t="s">
        <v>62</v>
      </c>
    </row>
    <row r="11" spans="4:18" ht="30" customHeight="1" x14ac:dyDescent="0.3">
      <c r="D11" s="139"/>
      <c r="R11" s="42" t="s">
        <v>66</v>
      </c>
    </row>
    <row r="12" spans="4:18" ht="30" customHeight="1" x14ac:dyDescent="0.3">
      <c r="D12" s="139"/>
      <c r="R12" s="42" t="s">
        <v>69</v>
      </c>
    </row>
    <row r="13" spans="4:18" ht="30" customHeight="1" x14ac:dyDescent="0.3">
      <c r="D13" s="139"/>
      <c r="R13" s="42" t="s">
        <v>70</v>
      </c>
    </row>
    <row r="14" spans="4:18" ht="30" customHeight="1" x14ac:dyDescent="0.3">
      <c r="D14" s="139"/>
      <c r="R14" s="42" t="s">
        <v>73</v>
      </c>
    </row>
    <row r="15" spans="4:18" ht="30" customHeight="1" x14ac:dyDescent="0.3">
      <c r="D15" s="139"/>
      <c r="R15" s="42" t="s">
        <v>74</v>
      </c>
    </row>
    <row r="16" spans="4:18" ht="30" customHeight="1" x14ac:dyDescent="0.3">
      <c r="D16" s="139"/>
      <c r="R16" s="42" t="s">
        <v>75</v>
      </c>
    </row>
    <row r="17" spans="4:18" ht="30" customHeight="1" x14ac:dyDescent="0.3">
      <c r="D17" s="139"/>
      <c r="R17" s="42" t="s">
        <v>78</v>
      </c>
    </row>
    <row r="18" spans="4:18" ht="30" customHeight="1" x14ac:dyDescent="0.3">
      <c r="D18" s="139"/>
      <c r="R18" s="42" t="s">
        <v>79</v>
      </c>
    </row>
    <row r="19" spans="4:18" ht="30" customHeight="1" x14ac:dyDescent="0.3">
      <c r="D19" s="139"/>
      <c r="R19" s="42" t="s">
        <v>85</v>
      </c>
    </row>
    <row r="20" spans="4:18" ht="30" customHeight="1" x14ac:dyDescent="0.3">
      <c r="D20" s="139"/>
      <c r="R20" s="42" t="s">
        <v>86</v>
      </c>
    </row>
    <row r="21" spans="4:18" ht="30" customHeight="1" x14ac:dyDescent="0.3">
      <c r="D21" s="139"/>
      <c r="R21" s="42" t="s">
        <v>87</v>
      </c>
    </row>
    <row r="22" spans="4:18" ht="30" customHeight="1" x14ac:dyDescent="0.3">
      <c r="D22" s="139"/>
      <c r="R22" s="42" t="s">
        <v>88</v>
      </c>
    </row>
    <row r="23" spans="4:18" ht="30" customHeight="1" x14ac:dyDescent="0.3">
      <c r="D23" s="139"/>
      <c r="R23" s="42" t="s">
        <v>90</v>
      </c>
    </row>
    <row r="24" spans="4:18" ht="30" customHeight="1" x14ac:dyDescent="0.3">
      <c r="D24" s="139"/>
      <c r="R24" s="42" t="s">
        <v>91</v>
      </c>
    </row>
    <row r="25" spans="4:18" ht="30" customHeight="1" x14ac:dyDescent="0.3">
      <c r="D25" s="139"/>
    </row>
  </sheetData>
  <mergeCells count="1">
    <mergeCell ref="G1:P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erifier_Montabilite">
                <anchor moveWithCells="1" sizeWithCells="1">
                  <from>
                    <xdr:col>7</xdr:col>
                    <xdr:colOff>784860</xdr:colOff>
                    <xdr:row>3</xdr:row>
                    <xdr:rowOff>289560</xdr:rowOff>
                  </from>
                  <to>
                    <xdr:col>11</xdr:col>
                    <xdr:colOff>784860</xdr:colOff>
                    <xdr:row>5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2026-06-17T06:10:51Z</dcterms:created>
  <dcterms:modified xsi:type="dcterms:W3CDTF">2026-06-19T20:16:41Z</dcterms:modified>
</cp:coreProperties>
</file>